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20" windowWidth="20730" windowHeight="11640" activeTab="1"/>
  </bookViews>
  <sheets>
    <sheet name="MAIN" sheetId="1" r:id="rId1"/>
    <sheet name="REPORT" sheetId="2" r:id="rId2"/>
    <sheet name="DATABASE TRACKER" sheetId="3" r:id="rId3"/>
    <sheet name="USER" sheetId="4" r:id="rId4"/>
  </sheets>
  <definedNames>
    <definedName name="_xlnm._FilterDatabase" localSheetId="0" hidden="1">MAIN!#REF!</definedName>
    <definedName name="_xlnm._FilterDatabase" localSheetId="1" hidden="1">REPORT!$I$18:$O$68</definedName>
    <definedName name="ResultId109145" localSheetId="1">REPORT!$G$56</definedName>
    <definedName name="ResultId16085" localSheetId="1">REPORT!$G$20</definedName>
    <definedName name="ResultId16147" localSheetId="1">REPORT!$G$33</definedName>
    <definedName name="ResultId177960" localSheetId="1">REPORT!$G$46</definedName>
    <definedName name="ResultId18703" localSheetId="1">REPORT!$G$40</definedName>
    <definedName name="ResultId18987" localSheetId="1">REPORT!$G$43</definedName>
    <definedName name="ResultId201245" localSheetId="1">REPORT!$G$45</definedName>
    <definedName name="ResultId21775" localSheetId="1">REPORT!$G$50</definedName>
    <definedName name="ResultId220547" localSheetId="1">REPORT!$G$19</definedName>
    <definedName name="ResultId24383" localSheetId="1">REPORT!$G$59</definedName>
    <definedName name="ResultId245519" localSheetId="1">REPORT!$G$22</definedName>
    <definedName name="ResultId245726" localSheetId="1">REPORT!$G$36</definedName>
    <definedName name="ResultId25027" localSheetId="1">REPORT!$G$50</definedName>
    <definedName name="ResultId262250" localSheetId="1">REPORT!$G$31</definedName>
    <definedName name="ResultId279275" localSheetId="1">REPORT!$G$60</definedName>
    <definedName name="ResultId281897" localSheetId="1">REPORT!$G$31</definedName>
    <definedName name="ResultId285591" localSheetId="1">REPORT!$G$33</definedName>
    <definedName name="ResultId292207" localSheetId="1">REPORT!$G$30</definedName>
    <definedName name="ResultId318273" localSheetId="1">REPORT!$G$50</definedName>
    <definedName name="ResultId322554" localSheetId="1">REPORT!$G$51</definedName>
    <definedName name="ResultId34143" localSheetId="1">REPORT!$G$19</definedName>
    <definedName name="ResultId353611" localSheetId="1">REPORT!$G$49</definedName>
    <definedName name="ResultId411801" localSheetId="1">REPORT!$G$39</definedName>
    <definedName name="ResultId419829" localSheetId="1">REPORT!$G$43</definedName>
    <definedName name="ResultId435755" localSheetId="1">REPORT!$G$50</definedName>
    <definedName name="ResultId436404" localSheetId="1">REPORT!$G$50</definedName>
    <definedName name="ResultId45668" localSheetId="1">REPORT!$G$25</definedName>
    <definedName name="ResultId482895" localSheetId="1">REPORT!$G$68</definedName>
    <definedName name="ResultId504265" localSheetId="1">REPORT!$G$28</definedName>
    <definedName name="ResultId5215" localSheetId="1">REPORT!$G$20</definedName>
    <definedName name="ResultId641564" localSheetId="1">REPORT!$G$21</definedName>
    <definedName name="ResultId659765" localSheetId="1">REPORT!$G$25</definedName>
    <definedName name="ResultId664554" localSheetId="1">REPORT!$G$30</definedName>
    <definedName name="ResultId668620" localSheetId="1">REPORT!$G$36</definedName>
    <definedName name="ResultId671800" localSheetId="1">REPORT!$G$67</definedName>
    <definedName name="ResultId674678" localSheetId="1">REPORT!$G$27</definedName>
    <definedName name="ResultId679156" localSheetId="1">REPORT!$G$41</definedName>
    <definedName name="ResultId679843" localSheetId="1">REPORT!$G$27</definedName>
    <definedName name="ResultId681312" localSheetId="1">REPORT!$G$40</definedName>
    <definedName name="ResultId685950" localSheetId="1">REPORT!$G$27</definedName>
    <definedName name="ResultId686821" localSheetId="1">REPORT!$G$38</definedName>
    <definedName name="ResultId691968" localSheetId="1">REPORT!$G$47</definedName>
    <definedName name="ResultId696309" localSheetId="1">REPORT!$G$49</definedName>
    <definedName name="ResultId701206" localSheetId="1">REPORT!$G$40</definedName>
    <definedName name="ResultId731083" localSheetId="1">REPORT!$G$68</definedName>
    <definedName name="ResultId742787" localSheetId="1">REPORT!$G$56</definedName>
    <definedName name="ResultId772057" localSheetId="1">REPORT!$G$68</definedName>
    <definedName name="ResultId98563" localSheetId="1">REPORT!$G$19</definedName>
    <definedName name="ResultId99347" localSheetId="1">REPORT!$G$48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5" i="2" l="1"/>
  <c r="R14" i="2"/>
  <c r="L14" i="2"/>
  <c r="L15" i="2"/>
  <c r="B14" i="2"/>
  <c r="B15" i="2"/>
  <c r="I7" i="2"/>
  <c r="I8" i="2"/>
  <c r="I9" i="2"/>
  <c r="I6" i="2"/>
</calcChain>
</file>

<file path=xl/sharedStrings.xml><?xml version="1.0" encoding="utf-8"?>
<sst xmlns="http://schemas.openxmlformats.org/spreadsheetml/2006/main" count="490" uniqueCount="260">
  <si>
    <t>BH-SVI III TESTER 2A TEST REPORT</t>
  </si>
  <si>
    <t>BOARD TYPE</t>
  </si>
  <si>
    <t>SLOT NO</t>
  </si>
  <si>
    <t>BOARD SERIAL NUMBER</t>
  </si>
  <si>
    <t>CYCLE START DATE</t>
  </si>
  <si>
    <t>CYCLE LOAD TIME</t>
  </si>
  <si>
    <t>CYCLE START TIME</t>
  </si>
  <si>
    <t>CYCLE END DATE</t>
  </si>
  <si>
    <t>CYCLE END TIME</t>
  </si>
  <si>
    <t>TEMPARETURE ORDER</t>
  </si>
  <si>
    <t>(+85) &gt; (+50) &gt; (-10) &gt; (-40) &gt; (20)</t>
  </si>
  <si>
    <t>MODEL :: MAIN BOARD</t>
  </si>
  <si>
    <t>TEST STATUS</t>
  </si>
  <si>
    <t>FAILURE</t>
  </si>
  <si>
    <t>MODEL :: PNEUMATIC BOARD</t>
  </si>
  <si>
    <t>MODEL :: OPTION BOARD</t>
  </si>
  <si>
    <t>LOADED QTY</t>
  </si>
  <si>
    <t>FRESH QTY LOADED</t>
  </si>
  <si>
    <t>FRESH QTY FAILED</t>
  </si>
  <si>
    <t>FAILED QTY LOADED</t>
  </si>
  <si>
    <t>FAILED QTY FAILED</t>
  </si>
  <si>
    <t>OVERALL PASSED</t>
  </si>
  <si>
    <t>OVERALL FAILED</t>
  </si>
  <si>
    <t>OVERALL YIELD</t>
  </si>
  <si>
    <t>FRESH QTY PASSED</t>
  </si>
  <si>
    <t>FRESH YIELD</t>
  </si>
  <si>
    <t>FAILED QTY PASSED</t>
  </si>
  <si>
    <t>FAILED YIELD</t>
  </si>
  <si>
    <t>CYCLE LOADED BY</t>
  </si>
  <si>
    <t>CYCLE STARTED BY</t>
  </si>
  <si>
    <t>CYCLE VERIFIED BY</t>
  </si>
  <si>
    <t>BH-SVI III TESTER 2A REPORT</t>
  </si>
  <si>
    <t>CYCLE STATUS :</t>
  </si>
  <si>
    <t>USER NAME</t>
  </si>
  <si>
    <t>USER ID</t>
  </si>
  <si>
    <t>USER PASSWORD</t>
  </si>
  <si>
    <t>ACCESS LEVEL</t>
  </si>
  <si>
    <t>USER 2</t>
  </si>
  <si>
    <t>USER 3</t>
  </si>
  <si>
    <t>USER 4</t>
  </si>
  <si>
    <t>USER 5</t>
  </si>
  <si>
    <t>USER 6</t>
  </si>
  <si>
    <t>USER 7</t>
  </si>
  <si>
    <t>USER 8</t>
  </si>
  <si>
    <t>USER 9</t>
  </si>
  <si>
    <t>USER 10</t>
  </si>
  <si>
    <t>SOURAV</t>
  </si>
  <si>
    <t>E9582</t>
  </si>
  <si>
    <t>Test@123</t>
  </si>
  <si>
    <t>AIO</t>
  </si>
  <si>
    <t>DATE</t>
  </si>
  <si>
    <t>FAILURE REMARKS</t>
  </si>
  <si>
    <t>RT COUNT</t>
  </si>
  <si>
    <t>MODEL</t>
  </si>
  <si>
    <t>DELTA 30 PSI @ ROOM</t>
  </si>
  <si>
    <t>DELTA 60 PSI @ ROOM</t>
  </si>
  <si>
    <t>DELTA 30 PSI @-40</t>
  </si>
  <si>
    <t>DELTA 60 PSI @ -40</t>
  </si>
  <si>
    <t>FRESH</t>
  </si>
  <si>
    <t>FAILED</t>
  </si>
  <si>
    <t>RMA</t>
  </si>
  <si>
    <t>SANJIB</t>
  </si>
  <si>
    <t>SAHIL</t>
  </si>
  <si>
    <t>OS4C2022290540</t>
  </si>
  <si>
    <t>OS4C2022290407</t>
  </si>
  <si>
    <t>OS4C2022290156</t>
  </si>
  <si>
    <t>OS4C2022290011</t>
  </si>
  <si>
    <t>OS4C2022290370</t>
  </si>
  <si>
    <t>OS4C2022290175</t>
  </si>
  <si>
    <t>OS4C2022290010</t>
  </si>
  <si>
    <t>OS4C2022290436</t>
  </si>
  <si>
    <t>OS4C2022290180</t>
  </si>
  <si>
    <t>OS4C2022290461</t>
  </si>
  <si>
    <t>OS4C2022290334</t>
  </si>
  <si>
    <t>OS4C2022290027</t>
  </si>
  <si>
    <t>OS4C2022290418</t>
  </si>
  <si>
    <t>OS4C2022290075</t>
  </si>
  <si>
    <t>OS4C2022290100</t>
  </si>
  <si>
    <t>OS4C2022290026</t>
  </si>
  <si>
    <t>OS4C2022290541</t>
  </si>
  <si>
    <t>OS4C2022290004</t>
  </si>
  <si>
    <t>OS4C2022290283</t>
  </si>
  <si>
    <t>OS4C2022290476</t>
  </si>
  <si>
    <t>MS4H2022350082</t>
  </si>
  <si>
    <t>MS4H2022350879</t>
  </si>
  <si>
    <t>MS4H2022350105</t>
  </si>
  <si>
    <t>MS4H2022350825</t>
  </si>
  <si>
    <t>MS4H2022350998</t>
  </si>
  <si>
    <t>MS4H2022350893</t>
  </si>
  <si>
    <t>MS4H2022350129</t>
  </si>
  <si>
    <t>MS4H2022350130</t>
  </si>
  <si>
    <t>MS4H2022350856</t>
  </si>
  <si>
    <t>MS4H2022350375</t>
  </si>
  <si>
    <t>MS4H2022350770</t>
  </si>
  <si>
    <t>MS4H2022350081</t>
  </si>
  <si>
    <t>MS4H2022350841</t>
  </si>
  <si>
    <t>MS4H2022350373</t>
  </si>
  <si>
    <t>MS4H2022350997</t>
  </si>
  <si>
    <t>MS4H2022350840</t>
  </si>
  <si>
    <t>MS4H2022350771</t>
  </si>
  <si>
    <t>MS4H2022350316</t>
  </si>
  <si>
    <t>MS4H2022350857</t>
  </si>
  <si>
    <t>MS4H2022350898</t>
  </si>
  <si>
    <t>MS4H2022350318</t>
  </si>
  <si>
    <t>MS4H2022350842</t>
  </si>
  <si>
    <t>MS4H2022350855</t>
  </si>
  <si>
    <t>MS4H2022350838</t>
  </si>
  <si>
    <t>MS4H2022350852</t>
  </si>
  <si>
    <t>MS4H2022350106</t>
  </si>
  <si>
    <t>MS4H2022350084</t>
  </si>
  <si>
    <t>MS4H2022350897</t>
  </si>
  <si>
    <t>MS4H2022350128</t>
  </si>
  <si>
    <t>MS4H2022350749</t>
  </si>
  <si>
    <t>MS4H2022350159</t>
  </si>
  <si>
    <t>MS4H2022350895</t>
  </si>
  <si>
    <t>MS4H2022350845</t>
  </si>
  <si>
    <t>MS4H2022350851</t>
  </si>
  <si>
    <t>MS4H2022350772</t>
  </si>
  <si>
    <t>MS4H2022350853</t>
  </si>
  <si>
    <t>MS4H2022350894</t>
  </si>
  <si>
    <t>MS4H2022350724</t>
  </si>
  <si>
    <t>MS4H2022350104</t>
  </si>
  <si>
    <t>MS4H2022350899</t>
  </si>
  <si>
    <t>MS4H2022350157</t>
  </si>
  <si>
    <t>MS4H2022350900</t>
  </si>
  <si>
    <t>MS4H2022350127</t>
  </si>
  <si>
    <t>MS4H2022350854</t>
  </si>
  <si>
    <t>MS4H2022350315</t>
  </si>
  <si>
    <t>MS4H2022350083</t>
  </si>
  <si>
    <t>MS4H2022350158</t>
  </si>
  <si>
    <t>MS4H2022350317</t>
  </si>
  <si>
    <t>MS4H2022350372</t>
  </si>
  <si>
    <t>MS4H2022350374</t>
  </si>
  <si>
    <t>PS4E2019470196</t>
  </si>
  <si>
    <t>PS4G2021110200</t>
  </si>
  <si>
    <t>PS4G2022060608</t>
  </si>
  <si>
    <t>PS4G2020450402</t>
  </si>
  <si>
    <t>PS4G2020450822</t>
  </si>
  <si>
    <t>PS4G2020510079</t>
  </si>
  <si>
    <t>PS4G2020450469</t>
  </si>
  <si>
    <t>PS4E2020220006</t>
  </si>
  <si>
    <t>PS4G2020450639</t>
  </si>
  <si>
    <t>PS4G2022060970</t>
  </si>
  <si>
    <t>PS4G2022060910</t>
  </si>
  <si>
    <t>PS4G2021100194</t>
  </si>
  <si>
    <t>PS4G2022060654</t>
  </si>
  <si>
    <t>PS4G2022060687</t>
  </si>
  <si>
    <t>PS4G2022060664</t>
  </si>
  <si>
    <t>PS4G2020510665</t>
  </si>
  <si>
    <t>PS4G2020450485</t>
  </si>
  <si>
    <t>PS4G2020450921</t>
  </si>
  <si>
    <t>PS4G2020451192</t>
  </si>
  <si>
    <t>PS4G2020450830</t>
  </si>
  <si>
    <t>PS4G2020450474</t>
  </si>
  <si>
    <t>PS4G2020450917</t>
  </si>
  <si>
    <t>PS4G2020450915</t>
  </si>
  <si>
    <t>PS4G2021110358</t>
  </si>
  <si>
    <t>PS4G2020451114</t>
  </si>
  <si>
    <t>09.09.2022</t>
  </si>
  <si>
    <t>05.45am</t>
  </si>
  <si>
    <t>BASAV SIR</t>
  </si>
  <si>
    <t>7:50AM</t>
  </si>
  <si>
    <t>PASS</t>
  </si>
  <si>
    <t xml:space="preserve">25 PS4E2019470196 Failed </t>
  </si>
  <si>
    <t xml:space="preserve">26 PS4G2021110200 Failed </t>
  </si>
  <si>
    <t xml:space="preserve">27 PS4G2022060608 Failed </t>
  </si>
  <si>
    <t xml:space="preserve">28 PS4G2020450402 Passed </t>
  </si>
  <si>
    <t xml:space="preserve">29 PS4G2020450822 Failed </t>
  </si>
  <si>
    <t xml:space="preserve">30 PS4G2020510079 Failed </t>
  </si>
  <si>
    <t xml:space="preserve">31 PS4G2020450469 Passed </t>
  </si>
  <si>
    <t xml:space="preserve">32 PS4E2020220006 Failed </t>
  </si>
  <si>
    <t xml:space="preserve">33 PS4G2020450639 Failed </t>
  </si>
  <si>
    <t xml:space="preserve">34 PS4G2022060970 Failed </t>
  </si>
  <si>
    <t xml:space="preserve">35 PS4G2022060910 Passed </t>
  </si>
  <si>
    <t xml:space="preserve">36 PS4G2021100194 Failed </t>
  </si>
  <si>
    <t xml:space="preserve">37 PS4G2022060654 Failed </t>
  </si>
  <si>
    <t xml:space="preserve">38 PS4G2022060687 Failed </t>
  </si>
  <si>
    <t xml:space="preserve">39 PS4G2022060664 Failed </t>
  </si>
  <si>
    <t xml:space="preserve">40 PS4G2020510665 Failed </t>
  </si>
  <si>
    <t xml:space="preserve">41 PS4G2020450485 Failed </t>
  </si>
  <si>
    <t xml:space="preserve">42 PS4G2020450921 Failed </t>
  </si>
  <si>
    <t xml:space="preserve">43 PS4G2020451114 Failed </t>
  </si>
  <si>
    <t xml:space="preserve">44 PS4G2020451192 Passed </t>
  </si>
  <si>
    <t xml:space="preserve">45 PS4G2020450830 Failed </t>
  </si>
  <si>
    <t xml:space="preserve">46 PS4G2020450474 Passed </t>
  </si>
  <si>
    <t xml:space="preserve">47 PS4G2020450917 Failed </t>
  </si>
  <si>
    <t xml:space="preserve">48 PS4G2020450915 Failed </t>
  </si>
  <si>
    <t xml:space="preserve">49 PS4G2021110358 Passed </t>
  </si>
  <si>
    <t xml:space="preserve">56 OS4C2022290540 Passed </t>
  </si>
  <si>
    <t xml:space="preserve">57 OS4C2022290407 Failed </t>
  </si>
  <si>
    <t xml:space="preserve">58 OS4C2022290156 Passed </t>
  </si>
  <si>
    <t xml:space="preserve">59 OS4C2022290011 Passed </t>
  </si>
  <si>
    <t xml:space="preserve">60 OS4C2022290370 Failed </t>
  </si>
  <si>
    <t xml:space="preserve">61 OS4C2022290175 Failed </t>
  </si>
  <si>
    <t xml:space="preserve">62 OS4C2022290010 Passed </t>
  </si>
  <si>
    <t xml:space="preserve">63 OS4C2022290436 Passed </t>
  </si>
  <si>
    <t xml:space="preserve">64 OS4C2022290180 Failed </t>
  </si>
  <si>
    <t xml:space="preserve">65 OS4C2022290461 Passed </t>
  </si>
  <si>
    <t xml:space="preserve">66 OS4C2022290334 Passed </t>
  </si>
  <si>
    <t xml:space="preserve">67 OS4C2022290027 Failed </t>
  </si>
  <si>
    <t xml:space="preserve">68 OS4C2022290418 Passed </t>
  </si>
  <si>
    <t xml:space="preserve">69 OS4C2022290075 Passed </t>
  </si>
  <si>
    <t xml:space="preserve">70 OS4C2022290100 Passed </t>
  </si>
  <si>
    <t xml:space="preserve">71 OS4C2022290026 Passed </t>
  </si>
  <si>
    <t xml:space="preserve">72 OS4C2022290541 Failed </t>
  </si>
  <si>
    <t xml:space="preserve">73 OS4C2022290004 Failed </t>
  </si>
  <si>
    <t xml:space="preserve">74 OS4C2022290283 Passed </t>
  </si>
  <si>
    <t xml:space="preserve">75 OS4C2022290476 Failed </t>
  </si>
  <si>
    <t xml:space="preserve">0 MS4H2022350082 Passed </t>
  </si>
  <si>
    <t xml:space="preserve">1 MS4H2022350879 Passed </t>
  </si>
  <si>
    <t xml:space="preserve">2 MS4H2022350105 Passed </t>
  </si>
  <si>
    <t xml:space="preserve">3 MS4H2022350825 Passed </t>
  </si>
  <si>
    <t xml:space="preserve">4 MS4H2022350998 Passed </t>
  </si>
  <si>
    <t xml:space="preserve">5 MS4H2022350893 Passed </t>
  </si>
  <si>
    <t xml:space="preserve">6 MS4H2022350129 Passed </t>
  </si>
  <si>
    <t xml:space="preserve">7 MS4H2022350130 Passed </t>
  </si>
  <si>
    <t xml:space="preserve">8 MS4H2022350856 Passed </t>
  </si>
  <si>
    <t xml:space="preserve">9 MS4H2022350375 Passed </t>
  </si>
  <si>
    <t xml:space="preserve">10 MS4H2022350770 Passed </t>
  </si>
  <si>
    <t xml:space="preserve">11 MS4H2022350081 Failed </t>
  </si>
  <si>
    <t xml:space="preserve">12 MS4H2022350841 Passed </t>
  </si>
  <si>
    <t xml:space="preserve">13 MS4H2022350373 Passed </t>
  </si>
  <si>
    <t xml:space="preserve">14 MS4H2022350997 Passed </t>
  </si>
  <si>
    <t xml:space="preserve">15 MS4H2022350840 Passed </t>
  </si>
  <si>
    <t xml:space="preserve">16 MS4H2022350771 Passed </t>
  </si>
  <si>
    <t xml:space="preserve">17 MS4H2022350316 Passed </t>
  </si>
  <si>
    <t xml:space="preserve">18 MS4H2022350857 Passed </t>
  </si>
  <si>
    <t xml:space="preserve">19 MS4H2022350898 Passed </t>
  </si>
  <si>
    <t xml:space="preserve">20 MS4H2022350318 Passed </t>
  </si>
  <si>
    <t xml:space="preserve">21 MS4H2022350842 Passed </t>
  </si>
  <si>
    <t xml:space="preserve">22 MS4H2022350855 Passed </t>
  </si>
  <si>
    <t xml:space="preserve">23 MS4H2022350838 Passed </t>
  </si>
  <si>
    <t xml:space="preserve">24 MS4H2022350852 Passed </t>
  </si>
  <si>
    <t xml:space="preserve">25 MS4H2022350106 Passed </t>
  </si>
  <si>
    <t xml:space="preserve">26 MS4H2022350084 Passed </t>
  </si>
  <si>
    <t xml:space="preserve">27 MS4H2022350897 Passed </t>
  </si>
  <si>
    <t xml:space="preserve">28 MS4H2022350128 Passed </t>
  </si>
  <si>
    <t xml:space="preserve">29 MS4H2022350749 Passed </t>
  </si>
  <si>
    <t xml:space="preserve">30 MS4H2022350159 Failed </t>
  </si>
  <si>
    <t xml:space="preserve">31 MS4H2022350895 Passed </t>
  </si>
  <si>
    <t xml:space="preserve">32 MS4H2022350845 Passed </t>
  </si>
  <si>
    <t xml:space="preserve">33 MS4H2022350851 Passed </t>
  </si>
  <si>
    <t xml:space="preserve">34 MS4H2022350772 Passed </t>
  </si>
  <si>
    <t xml:space="preserve">35 MS4H2022350853 Passed </t>
  </si>
  <si>
    <t xml:space="preserve">36 MS4H2022350894 Passed </t>
  </si>
  <si>
    <t xml:space="preserve">37 MS4H2022350724 Passed </t>
  </si>
  <si>
    <t xml:space="preserve">38 MS4H2022350104 Passed </t>
  </si>
  <si>
    <t xml:space="preserve">39 MS4H2022350899 Passed </t>
  </si>
  <si>
    <t xml:space="preserve">40 MS4H2022350157 Passed </t>
  </si>
  <si>
    <t xml:space="preserve">41 MS4H2022350900 Passed </t>
  </si>
  <si>
    <t xml:space="preserve">42 MS4H2022350127 Passed </t>
  </si>
  <si>
    <t xml:space="preserve">43 MS4H2022350854 Passed </t>
  </si>
  <si>
    <t xml:space="preserve">44 MS4H2022350315 Passed </t>
  </si>
  <si>
    <t xml:space="preserve">45 MS4H2022350083 Passed </t>
  </si>
  <si>
    <t xml:space="preserve">46 MS4H2022350158 Passed </t>
  </si>
  <si>
    <t xml:space="preserve">47 MS4H2022350317 Passed </t>
  </si>
  <si>
    <t xml:space="preserve">48 MS4H2022350372 Passed </t>
  </si>
  <si>
    <t xml:space="preserve">49 MS4H2022350374 Passed </t>
  </si>
  <si>
    <t xml:space="preserve">COMMUNICATION </t>
  </si>
  <si>
    <t>IF RMA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</si>
</sst>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7.7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3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0" fillId="0" borderId="0" xfId="0" applyBorder="1" applyAlignment="1"/>
    <xf numFmtId="0" fontId="0" fillId="0" borderId="17" xfId="0" applyBorder="1"/>
    <xf numFmtId="0" fontId="0" fillId="0" borderId="7" xfId="0" applyBorder="1" applyAlignment="1"/>
    <xf numFmtId="0" fontId="0" fillId="0" borderId="18" xfId="0" applyBorder="1"/>
    <xf numFmtId="0" fontId="0" fillId="0" borderId="9" xfId="0" applyBorder="1" applyAlignment="1"/>
    <xf numFmtId="0" fontId="0" fillId="0" borderId="8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6" fillId="0" borderId="0" xfId="1"/>
    <xf numFmtId="0" fontId="0" fillId="0" borderId="7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9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22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1" fillId="0" borderId="14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8" fontId="1" fillId="0" borderId="1" xfId="0" applyNumberFormat="1" applyFont="1" applyBorder="1" applyAlignment="1">
      <alignment horizontal="center" vertical="center"/>
    </xf>
    <xf numFmtId="0" fontId="1" fillId="0" borderId="14" xfId="0" applyFont="1" applyBorder="1" applyAlignment="1">
      <alignment horizontal="center" wrapText="1"/>
    </xf>
    <xf numFmtId="14" fontId="1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0" fontId="7" fillId="0" borderId="1" xfId="0" applyFont="1" applyBorder="1"/>
    <xf numFmtId="0" fontId="11" fillId="0" borderId="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2" borderId="16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0" fillId="3" borderId="20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8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numFmt numFmtId="0" formatCode="General"/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5</xdr:row>
          <xdr:rowOff>142875</xdr:rowOff>
        </xdr:from>
        <xdr:to>
          <xdr:col>2</xdr:col>
          <xdr:colOff>1504950</xdr:colOff>
          <xdr:row>10</xdr:row>
          <xdr:rowOff>47625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1285875</xdr:colOff>
          <xdr:row>6</xdr:row>
          <xdr:rowOff>0</xdr:rowOff>
        </xdr:from>
        <xdr:to>
          <xdr:col>9</xdr:col>
          <xdr:colOff>552450</xdr:colOff>
          <xdr:row>10</xdr:row>
          <xdr:rowOff>95250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5</xdr:row>
          <xdr:rowOff>104775</xdr:rowOff>
        </xdr:from>
        <xdr:to>
          <xdr:col>5</xdr:col>
          <xdr:colOff>95250</xdr:colOff>
          <xdr:row>10</xdr:row>
          <xdr:rowOff>9525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11</xdr:row>
          <xdr:rowOff>28575</xdr:rowOff>
        </xdr:from>
        <xdr:to>
          <xdr:col>2</xdr:col>
          <xdr:colOff>1495425</xdr:colOff>
          <xdr:row>15</xdr:row>
          <xdr:rowOff>123825</xdr:rowOff>
        </xdr:to>
        <xdr:sp macro="" textlink="">
          <xdr:nvSpPr>
            <xdr:cNvPr id="1029" name="CommandButton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11</xdr:row>
          <xdr:rowOff>47625</xdr:rowOff>
        </xdr:from>
        <xdr:to>
          <xdr:col>9</xdr:col>
          <xdr:colOff>523875</xdr:colOff>
          <xdr:row>15</xdr:row>
          <xdr:rowOff>142875</xdr:rowOff>
        </xdr:to>
        <xdr:sp macro="" textlink="">
          <xdr:nvSpPr>
            <xdr:cNvPr id="1030" name="CommandButton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68036</xdr:colOff>
          <xdr:row>0</xdr:row>
          <xdr:rowOff>62593</xdr:rowOff>
        </xdr:from>
        <xdr:to>
          <xdr:col>6</xdr:col>
          <xdr:colOff>299357</xdr:colOff>
          <xdr:row>3</xdr:row>
          <xdr:rowOff>62593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70757</xdr:colOff>
          <xdr:row>0</xdr:row>
          <xdr:rowOff>62593</xdr:rowOff>
        </xdr:from>
        <xdr:to>
          <xdr:col>1</xdr:col>
          <xdr:colOff>1347107</xdr:colOff>
          <xdr:row>3</xdr:row>
          <xdr:rowOff>62593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1386570</xdr:colOff>
          <xdr:row>0</xdr:row>
          <xdr:rowOff>80282</xdr:rowOff>
        </xdr:from>
        <xdr:to>
          <xdr:col>2</xdr:col>
          <xdr:colOff>1646465</xdr:colOff>
          <xdr:row>3</xdr:row>
          <xdr:rowOff>80282</xdr:rowOff>
        </xdr:to>
        <xdr:sp macro="" textlink="">
          <xdr:nvSpPr>
            <xdr:cNvPr id="2062" name="CommandButton3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16328</xdr:colOff>
          <xdr:row>0</xdr:row>
          <xdr:rowOff>48986</xdr:rowOff>
        </xdr:from>
        <xdr:to>
          <xdr:col>4</xdr:col>
          <xdr:colOff>1479096</xdr:colOff>
          <xdr:row>3</xdr:row>
          <xdr:rowOff>48986</xdr:rowOff>
        </xdr:to>
        <xdr:sp macro="" textlink="">
          <xdr:nvSpPr>
            <xdr:cNvPr id="2072" name="CommandButton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est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S36"/>
  <sheetViews>
    <sheetView showGridLines="0" zoomScale="60" zoomScaleNormal="60" workbookViewId="0">
      <selection activeCell="B44" sqref="B44"/>
    </sheetView>
  </sheetViews>
  <sheetFormatPr defaultRowHeight="15" x14ac:dyDescent="0.25"/>
  <cols>
    <col min="2" max="2" width="29.42578125" bestFit="1" customWidth="1"/>
    <col min="3" max="3" width="29.7109375" bestFit="1" customWidth="1"/>
    <col min="4" max="4" width="32.140625" bestFit="1" customWidth="1"/>
    <col min="5" max="5" width="34.7109375" bestFit="1" customWidth="1"/>
    <col min="6" max="6" width="42.42578125" bestFit="1" customWidth="1"/>
    <col min="14" max="14" width="15.7109375" bestFit="1" customWidth="1"/>
    <col min="16" max="16" width="15.7109375" bestFit="1" customWidth="1"/>
    <col min="17" max="17" width="10.42578125" bestFit="1" customWidth="1"/>
  </cols>
  <sheetData>
    <row r="1" spans="1:19" x14ac:dyDescent="0.25">
      <c r="A1" s="59" t="s">
        <v>0</v>
      </c>
      <c r="B1" s="60"/>
      <c r="C1" s="60"/>
      <c r="D1" s="60"/>
      <c r="E1" s="60"/>
      <c r="F1" s="60"/>
      <c r="G1" s="60"/>
      <c r="H1" s="60"/>
      <c r="I1" s="60"/>
      <c r="J1" s="61"/>
    </row>
    <row r="2" spans="1:19" x14ac:dyDescent="0.25">
      <c r="A2" s="62"/>
      <c r="B2" s="63"/>
      <c r="C2" s="63"/>
      <c r="D2" s="63"/>
      <c r="E2" s="63"/>
      <c r="F2" s="63"/>
      <c r="G2" s="63"/>
      <c r="H2" s="63"/>
      <c r="I2" s="63"/>
      <c r="J2" s="64"/>
      <c r="K2" s="1"/>
      <c r="L2" s="1"/>
      <c r="M2" s="1"/>
    </row>
    <row r="3" spans="1:19" x14ac:dyDescent="0.25">
      <c r="A3" s="62"/>
      <c r="B3" s="63"/>
      <c r="C3" s="63"/>
      <c r="D3" s="63"/>
      <c r="E3" s="63"/>
      <c r="F3" s="63"/>
      <c r="G3" s="63"/>
      <c r="H3" s="63"/>
      <c r="I3" s="63"/>
      <c r="J3" s="64"/>
    </row>
    <row r="4" spans="1:19" x14ac:dyDescent="0.25">
      <c r="A4" s="62"/>
      <c r="B4" s="63"/>
      <c r="C4" s="63"/>
      <c r="D4" s="63"/>
      <c r="E4" s="63"/>
      <c r="F4" s="63"/>
      <c r="G4" s="63"/>
      <c r="H4" s="63"/>
      <c r="I4" s="63"/>
      <c r="J4" s="64"/>
    </row>
    <row r="5" spans="1:19" ht="15.75" thickBot="1" x14ac:dyDescent="0.3">
      <c r="A5" s="65"/>
      <c r="B5" s="66"/>
      <c r="C5" s="66"/>
      <c r="D5" s="66"/>
      <c r="E5" s="66"/>
      <c r="F5" s="66"/>
      <c r="G5" s="66"/>
      <c r="H5" s="66"/>
      <c r="I5" s="66"/>
      <c r="J5" s="67"/>
    </row>
    <row r="6" spans="1:19" x14ac:dyDescent="0.25">
      <c r="A6" s="13"/>
      <c r="B6" s="1"/>
      <c r="C6" s="1"/>
      <c r="D6" s="1"/>
      <c r="E6" s="1"/>
      <c r="F6" s="1"/>
      <c r="G6" s="1"/>
      <c r="H6" s="1"/>
      <c r="I6" s="1"/>
      <c r="J6" s="2"/>
    </row>
    <row r="7" spans="1:19" x14ac:dyDescent="0.25">
      <c r="A7" s="13"/>
      <c r="B7" s="1"/>
      <c r="C7" s="1"/>
      <c r="D7" s="1"/>
      <c r="E7" s="1"/>
      <c r="F7" s="1"/>
      <c r="G7" s="1"/>
      <c r="H7" s="1"/>
      <c r="I7" s="1"/>
      <c r="J7" s="2"/>
    </row>
    <row r="8" spans="1:19" x14ac:dyDescent="0.25">
      <c r="A8" s="13"/>
      <c r="B8" s="1"/>
      <c r="C8" s="1"/>
      <c r="D8" s="1"/>
      <c r="E8" s="1"/>
      <c r="F8" s="1"/>
      <c r="G8" s="1"/>
      <c r="H8" s="1"/>
      <c r="I8" s="1"/>
      <c r="J8" s="2"/>
    </row>
    <row r="9" spans="1:19" x14ac:dyDescent="0.25">
      <c r="A9" s="13"/>
      <c r="B9" s="1"/>
      <c r="C9" s="1"/>
      <c r="D9" s="1"/>
      <c r="E9" s="1"/>
      <c r="F9" s="1"/>
      <c r="G9" s="1"/>
      <c r="H9" s="1"/>
      <c r="I9" s="1"/>
      <c r="J9" s="2"/>
    </row>
    <row r="10" spans="1:19" x14ac:dyDescent="0.25">
      <c r="A10" s="13"/>
      <c r="B10" s="1"/>
      <c r="C10" s="1"/>
      <c r="D10" s="1"/>
      <c r="E10" s="1"/>
      <c r="F10" s="1"/>
      <c r="G10" s="1"/>
      <c r="H10" s="1"/>
      <c r="I10" s="1"/>
      <c r="J10" s="2"/>
    </row>
    <row r="11" spans="1:19" ht="15.75" thickBot="1" x14ac:dyDescent="0.3">
      <c r="A11" s="13"/>
      <c r="B11" s="12"/>
      <c r="C11" s="12"/>
      <c r="D11" s="12"/>
      <c r="E11" s="12"/>
      <c r="F11" s="12"/>
      <c r="G11" s="12"/>
      <c r="H11" s="12"/>
      <c r="I11" s="12"/>
      <c r="J11" s="14"/>
      <c r="K11" s="12"/>
      <c r="L11" s="12"/>
      <c r="M11" s="12"/>
      <c r="N11" s="12"/>
      <c r="O11" s="12"/>
      <c r="P11" s="12"/>
      <c r="Q11" s="12"/>
      <c r="R11" s="12"/>
      <c r="S11" s="12"/>
    </row>
    <row r="12" spans="1:19" x14ac:dyDescent="0.25">
      <c r="A12" s="13"/>
      <c r="B12" s="12"/>
      <c r="C12" s="12"/>
      <c r="D12" s="68" t="s">
        <v>32</v>
      </c>
      <c r="E12" s="71"/>
      <c r="F12" s="72"/>
      <c r="G12" s="18"/>
      <c r="H12" s="18"/>
      <c r="I12" s="18"/>
      <c r="J12" s="19"/>
      <c r="K12" s="12"/>
      <c r="L12" s="12"/>
      <c r="M12" s="12"/>
      <c r="N12" s="12"/>
      <c r="O12" s="12"/>
      <c r="P12" s="12"/>
      <c r="Q12" s="12"/>
      <c r="R12" s="12"/>
      <c r="S12" s="12"/>
    </row>
    <row r="13" spans="1:19" x14ac:dyDescent="0.25">
      <c r="A13" s="13"/>
      <c r="B13" s="12"/>
      <c r="C13" s="12"/>
      <c r="D13" s="69"/>
      <c r="E13" s="73"/>
      <c r="F13" s="74"/>
      <c r="G13" s="12"/>
      <c r="H13" s="12"/>
      <c r="I13" s="12"/>
      <c r="J13" s="14"/>
      <c r="K13" s="12"/>
      <c r="L13" s="12"/>
      <c r="M13" s="12"/>
      <c r="N13" s="12"/>
      <c r="O13" s="12"/>
      <c r="P13" s="12"/>
      <c r="Q13" s="12"/>
      <c r="R13" s="12"/>
      <c r="S13" s="12"/>
    </row>
    <row r="14" spans="1:19" x14ac:dyDescent="0.25">
      <c r="A14" s="13"/>
      <c r="B14" s="12"/>
      <c r="C14" s="12"/>
      <c r="D14" s="69"/>
      <c r="E14" s="73"/>
      <c r="F14" s="74"/>
      <c r="G14" s="12"/>
      <c r="H14" s="12"/>
      <c r="I14" s="12"/>
      <c r="J14" s="14"/>
      <c r="K14" s="12"/>
      <c r="L14" s="12"/>
      <c r="M14" s="12"/>
      <c r="N14" s="12"/>
      <c r="O14" s="12"/>
      <c r="P14" s="12"/>
      <c r="Q14" s="12"/>
      <c r="R14" s="12"/>
      <c r="S14" s="12"/>
    </row>
    <row r="15" spans="1:19" x14ac:dyDescent="0.25">
      <c r="A15" s="13"/>
      <c r="B15" s="12"/>
      <c r="C15" s="12"/>
      <c r="D15" s="69"/>
      <c r="E15" s="73"/>
      <c r="F15" s="74"/>
      <c r="G15" s="12"/>
      <c r="H15" s="12"/>
      <c r="I15" s="12"/>
      <c r="J15" s="14"/>
      <c r="K15" s="12"/>
      <c r="L15" s="12"/>
      <c r="M15" s="12"/>
      <c r="N15" s="12"/>
      <c r="O15" s="12"/>
      <c r="P15" s="12"/>
      <c r="Q15" s="12"/>
      <c r="R15" s="12"/>
      <c r="S15" s="12"/>
    </row>
    <row r="16" spans="1:19" ht="15.75" thickBot="1" x14ac:dyDescent="0.3">
      <c r="A16" s="15"/>
      <c r="B16" s="16"/>
      <c r="C16" s="16"/>
      <c r="D16" s="70"/>
      <c r="E16" s="75"/>
      <c r="F16" s="76"/>
      <c r="G16" s="16"/>
      <c r="H16" s="16"/>
      <c r="I16" s="16"/>
      <c r="J16" s="17"/>
      <c r="K16" s="12"/>
      <c r="L16" s="12"/>
      <c r="M16" s="12"/>
      <c r="N16" s="12"/>
      <c r="O16" s="12"/>
      <c r="P16" s="12"/>
      <c r="Q16" s="12"/>
      <c r="R16" s="12"/>
      <c r="S16" s="12"/>
    </row>
    <row r="17" spans="2:19" x14ac:dyDescent="0.25"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2:19" x14ac:dyDescent="0.25"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2:19" x14ac:dyDescent="0.25"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2:19" x14ac:dyDescent="0.25"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2:19" x14ac:dyDescent="0.25"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2:19" x14ac:dyDescent="0.25"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2:19" x14ac:dyDescent="0.25"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2:19" x14ac:dyDescent="0.25"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2:19" x14ac:dyDescent="0.25"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2:19" x14ac:dyDescent="0.25"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2:19" x14ac:dyDescent="0.25"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2:19" x14ac:dyDescent="0.25"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2:19" x14ac:dyDescent="0.25"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2:19" x14ac:dyDescent="0.25"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2:19" x14ac:dyDescent="0.25"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2:19" x14ac:dyDescent="0.25"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2:19" x14ac:dyDescent="0.25"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2:19" x14ac:dyDescent="0.25"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2:19" x14ac:dyDescent="0.25"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2:19" x14ac:dyDescent="0.25"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</sheetData>
  <mergeCells count="3">
    <mergeCell ref="A1:J5"/>
    <mergeCell ref="D12:D16"/>
    <mergeCell ref="E12:F16"/>
  </mergeCells>
  <conditionalFormatting sqref="E6:E10 E37:E1048576">
    <cfRule type="containsText" dxfId="79" priority="24" operator="containsText" text="PASS">
      <formula>NOT(ISERROR(SEARCH("PASS",E6)))</formula>
    </cfRule>
  </conditionalFormatting>
  <conditionalFormatting sqref="C6:C10 C37:C1048576">
    <cfRule type="duplicateValues" dxfId="78" priority="95"/>
  </conditionalFormatting>
  <pageMargins left="0.7" right="0.7" top="0.75" bottom="0.75" header="0.3" footer="0.3"/>
  <pageSetup paperSize="9" scale="35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ommandButton4">
          <controlPr defaultSize="0" autoLine="0" r:id="rId5">
            <anchor moveWithCells="1">
              <from>
                <xdr:col>0</xdr:col>
                <xdr:colOff>152400</xdr:colOff>
                <xdr:row>11</xdr:row>
                <xdr:rowOff>28575</xdr:rowOff>
              </from>
              <to>
                <xdr:col>2</xdr:col>
                <xdr:colOff>1495425</xdr:colOff>
                <xdr:row>15</xdr:row>
                <xdr:rowOff>123825</xdr:rowOff>
              </to>
            </anchor>
          </controlPr>
        </control>
      </mc:Choice>
      <mc:Fallback>
        <control shapeId="1029" r:id="rId4" name="CommandButton4"/>
      </mc:Fallback>
    </mc:AlternateContent>
    <mc:AlternateContent xmlns:mc="http://schemas.openxmlformats.org/markup-compatibility/2006">
      <mc:Choice Requires="x14">
        <control shapeId="1028" r:id="rId6" name="CommandButton3">
          <controlPr defaultSize="0" autoLine="0" r:id="rId7">
            <anchor moveWithCells="1">
              <from>
                <xdr:col>3</xdr:col>
                <xdr:colOff>647700</xdr:colOff>
                <xdr:row>5</xdr:row>
                <xdr:rowOff>104775</xdr:rowOff>
              </from>
              <to>
                <xdr:col>5</xdr:col>
                <xdr:colOff>95250</xdr:colOff>
                <xdr:row>10</xdr:row>
                <xdr:rowOff>9525</xdr:rowOff>
              </to>
            </anchor>
          </controlPr>
        </control>
      </mc:Choice>
      <mc:Fallback>
        <control shapeId="1028" r:id="rId6" name="CommandButton3"/>
      </mc:Fallback>
    </mc:AlternateContent>
    <mc:AlternateContent xmlns:mc="http://schemas.openxmlformats.org/markup-compatibility/2006">
      <mc:Choice Requires="x14">
        <control shapeId="1027" r:id="rId8" name="CommandButton2">
          <controlPr defaultSize="0" autoLine="0" r:id="rId9">
            <anchor moveWithCells="1">
              <from>
                <xdr:col>5</xdr:col>
                <xdr:colOff>1285875</xdr:colOff>
                <xdr:row>6</xdr:row>
                <xdr:rowOff>0</xdr:rowOff>
              </from>
              <to>
                <xdr:col>9</xdr:col>
                <xdr:colOff>552450</xdr:colOff>
                <xdr:row>10</xdr:row>
                <xdr:rowOff>95250</xdr:rowOff>
              </to>
            </anchor>
          </controlPr>
        </control>
      </mc:Choice>
      <mc:Fallback>
        <control shapeId="1027" r:id="rId8" name="CommandButton2"/>
      </mc:Fallback>
    </mc:AlternateContent>
    <mc:AlternateContent xmlns:mc="http://schemas.openxmlformats.org/markup-compatibility/2006">
      <mc:Choice Requires="x14">
        <control shapeId="1026" r:id="rId10" name="CommandButton1">
          <controlPr defaultSize="0" autoLine="0" r:id="rId11">
            <anchor moveWithCells="1">
              <from>
                <xdr:col>0</xdr:col>
                <xdr:colOff>171450</xdr:colOff>
                <xdr:row>5</xdr:row>
                <xdr:rowOff>142875</xdr:rowOff>
              </from>
              <to>
                <xdr:col>2</xdr:col>
                <xdr:colOff>1504950</xdr:colOff>
                <xdr:row>10</xdr:row>
                <xdr:rowOff>47625</xdr:rowOff>
              </to>
            </anchor>
          </controlPr>
        </control>
      </mc:Choice>
      <mc:Fallback>
        <control shapeId="1026" r:id="rId10" name="CommandButton1"/>
      </mc:Fallback>
    </mc:AlternateContent>
    <mc:AlternateContent xmlns:mc="http://schemas.openxmlformats.org/markup-compatibility/2006">
      <mc:Choice Requires="x14">
        <control shapeId="1030" r:id="rId12" name="CommandButton5">
          <controlPr defaultSize="0" autoLine="0" r:id="rId13">
            <anchor moveWithCells="1">
              <from>
                <xdr:col>6</xdr:col>
                <xdr:colOff>85725</xdr:colOff>
                <xdr:row>11</xdr:row>
                <xdr:rowOff>47625</xdr:rowOff>
              </from>
              <to>
                <xdr:col>9</xdr:col>
                <xdr:colOff>523875</xdr:colOff>
                <xdr:row>15</xdr:row>
                <xdr:rowOff>142875</xdr:rowOff>
              </to>
            </anchor>
          </controlPr>
        </control>
      </mc:Choice>
      <mc:Fallback>
        <control shapeId="1030" r:id="rId12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B94"/>
  <sheetViews>
    <sheetView showGridLines="0" tabSelected="1" zoomScale="70" zoomScaleNormal="70" workbookViewId="0">
      <selection activeCell="M44" sqref="M44"/>
    </sheetView>
  </sheetViews>
  <sheetFormatPr defaultRowHeight="15" x14ac:dyDescent="0.25"/>
  <cols>
    <col min="1" max="1" width="24.5703125" style="3" bestFit="1" customWidth="1"/>
    <col min="2" max="2" width="40.7109375" style="3" bestFit="1" customWidth="1"/>
    <col min="3" max="3" width="25.7109375" style="27" bestFit="1" customWidth="1"/>
    <col min="4" max="4" width="22.5703125" style="27" bestFit="1" customWidth="1"/>
    <col min="5" max="5" width="22.5703125" style="43" customWidth="1"/>
    <col min="6" max="6" width="36.42578125" style="27" bestFit="1" customWidth="1"/>
    <col min="7" max="7" width="13.140625" style="27" bestFit="1" customWidth="1"/>
    <col min="8" max="8" width="2.140625" style="29" customWidth="1"/>
    <col min="9" max="9" width="23.42578125" style="27" bestFit="1" customWidth="1"/>
    <col min="10" max="10" width="30.140625" style="27" bestFit="1" customWidth="1"/>
    <col min="11" max="11" width="25.7109375" style="27" bestFit="1" customWidth="1"/>
    <col min="12" max="12" width="22.5703125" style="27" bestFit="1" customWidth="1"/>
    <col min="13" max="13" width="22.5703125" style="43" customWidth="1"/>
    <col min="14" max="14" width="36.42578125" style="27" bestFit="1" customWidth="1"/>
    <col min="15" max="15" width="11.5703125" style="27" bestFit="1" customWidth="1"/>
    <col min="16" max="16" width="3" style="27" customWidth="1"/>
    <col min="17" max="17" width="23.42578125" style="27" bestFit="1" customWidth="1"/>
    <col min="18" max="18" width="30.140625" style="27" bestFit="1" customWidth="1"/>
    <col min="19" max="19" width="25.7109375" style="27" bestFit="1" customWidth="1"/>
    <col min="20" max="20" width="22.5703125" style="27" bestFit="1" customWidth="1"/>
    <col min="21" max="21" width="22.5703125" style="43" customWidth="1"/>
    <col min="22" max="22" width="36.42578125" style="27" bestFit="1" customWidth="1"/>
    <col min="23" max="23" width="11.5703125" style="27" bestFit="1" customWidth="1"/>
    <col min="24" max="16384" width="9.140625" style="27"/>
  </cols>
  <sheetData>
    <row r="1" spans="1:26" x14ac:dyDescent="0.25">
      <c r="A1" s="77" t="s">
        <v>31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9"/>
      <c r="Z1" s="27" t="s">
        <v>58</v>
      </c>
    </row>
    <row r="2" spans="1:26" x14ac:dyDescent="0.25">
      <c r="A2" s="80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2"/>
      <c r="Z2" s="27" t="s">
        <v>59</v>
      </c>
    </row>
    <row r="3" spans="1:26" x14ac:dyDescent="0.25">
      <c r="A3" s="80"/>
      <c r="B3" s="81"/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2"/>
      <c r="Z3" s="27" t="s">
        <v>60</v>
      </c>
    </row>
    <row r="4" spans="1:26" x14ac:dyDescent="0.25">
      <c r="A4" s="80"/>
      <c r="B4" s="81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2"/>
    </row>
    <row r="5" spans="1:26" ht="15.75" thickBot="1" x14ac:dyDescent="0.3">
      <c r="A5" s="83"/>
      <c r="B5" s="84"/>
      <c r="C5" s="84"/>
      <c r="D5" s="84"/>
      <c r="E5" s="81"/>
      <c r="F5" s="81"/>
      <c r="G5" s="81"/>
      <c r="H5" s="84"/>
      <c r="I5" s="81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5"/>
    </row>
    <row r="6" spans="1:26" x14ac:dyDescent="0.25">
      <c r="A6" s="6" t="s">
        <v>4</v>
      </c>
      <c r="B6" s="36" t="s">
        <v>158</v>
      </c>
      <c r="C6" s="28" t="s">
        <v>28</v>
      </c>
      <c r="D6" s="28" t="s">
        <v>61</v>
      </c>
      <c r="E6" s="44"/>
      <c r="F6" s="39" t="s">
        <v>54</v>
      </c>
      <c r="G6" s="54">
        <v>3.6221000000000003E-2</v>
      </c>
      <c r="I6" s="38" t="str">
        <f>IF(G6&lt;&gt;"",IF(G6&lt;0.14,"PASS","FAIL"),"IDLE")</f>
        <v>PASS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1"/>
    </row>
    <row r="7" spans="1:26" x14ac:dyDescent="0.25">
      <c r="A7" s="7" t="s">
        <v>5</v>
      </c>
      <c r="B7" s="51" t="s">
        <v>159</v>
      </c>
      <c r="C7" s="22" t="s">
        <v>29</v>
      </c>
      <c r="D7" s="44" t="s">
        <v>62</v>
      </c>
      <c r="E7" s="57"/>
      <c r="F7" s="45" t="s">
        <v>55</v>
      </c>
      <c r="G7" s="45">
        <v>4.5665999999999998E-2</v>
      </c>
      <c r="I7" s="38" t="str">
        <f t="shared" ref="I7:I9" si="0">IF(G7&lt;&gt;"",IF(G7&lt;0.14,"PASS","FAIL"),"IDLE")</f>
        <v>PASS</v>
      </c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1"/>
    </row>
    <row r="8" spans="1:26" x14ac:dyDescent="0.25">
      <c r="A8" s="7" t="s">
        <v>6</v>
      </c>
      <c r="B8" s="51" t="s">
        <v>161</v>
      </c>
      <c r="C8" s="22" t="s">
        <v>30</v>
      </c>
      <c r="D8" s="22" t="s">
        <v>160</v>
      </c>
      <c r="E8" s="39"/>
      <c r="F8" s="39" t="s">
        <v>56</v>
      </c>
      <c r="G8" s="39">
        <v>3.8549E-2</v>
      </c>
      <c r="I8" s="38" t="str">
        <f t="shared" si="0"/>
        <v>PASS</v>
      </c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1"/>
    </row>
    <row r="9" spans="1:26" x14ac:dyDescent="0.25">
      <c r="A9" s="7" t="s">
        <v>7</v>
      </c>
      <c r="B9" s="53"/>
      <c r="C9" s="22"/>
      <c r="D9" s="22"/>
      <c r="E9" s="39"/>
      <c r="F9" s="39" t="s">
        <v>57</v>
      </c>
      <c r="G9" s="39">
        <v>0.122853</v>
      </c>
      <c r="I9" s="38" t="str">
        <f t="shared" si="0"/>
        <v>PASS</v>
      </c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1"/>
    </row>
    <row r="10" spans="1:26" x14ac:dyDescent="0.25">
      <c r="A10" s="7" t="s">
        <v>8</v>
      </c>
      <c r="B10" s="51"/>
      <c r="C10" s="22"/>
      <c r="D10" s="39"/>
      <c r="E10" s="39"/>
      <c r="F10" s="39"/>
      <c r="G10" s="39"/>
      <c r="I10" s="38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1"/>
    </row>
    <row r="11" spans="1:26" ht="15.75" thickBot="1" x14ac:dyDescent="0.3">
      <c r="A11" s="10" t="s">
        <v>9</v>
      </c>
      <c r="B11" s="11" t="s">
        <v>10</v>
      </c>
      <c r="C11" s="30"/>
      <c r="D11" s="45"/>
      <c r="E11" s="45"/>
      <c r="F11" s="39"/>
      <c r="G11" s="39"/>
      <c r="I11" s="38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1"/>
    </row>
    <row r="12" spans="1:26" ht="28.5" x14ac:dyDescent="0.25">
      <c r="A12" s="89" t="s">
        <v>11</v>
      </c>
      <c r="B12" s="90"/>
      <c r="C12" s="90"/>
      <c r="D12" s="90"/>
      <c r="E12" s="91"/>
      <c r="F12" s="91"/>
      <c r="G12" s="92"/>
      <c r="I12" s="93" t="s">
        <v>14</v>
      </c>
      <c r="J12" s="94"/>
      <c r="K12" s="94"/>
      <c r="L12" s="94"/>
      <c r="M12" s="94"/>
      <c r="N12" s="94"/>
      <c r="O12" s="95"/>
      <c r="P12" s="29"/>
      <c r="Q12" s="89" t="s">
        <v>15</v>
      </c>
      <c r="R12" s="90"/>
      <c r="S12" s="90"/>
      <c r="T12" s="90"/>
      <c r="U12" s="90"/>
      <c r="V12" s="90"/>
      <c r="W12" s="96"/>
    </row>
    <row r="13" spans="1:26" x14ac:dyDescent="0.25">
      <c r="A13" s="8" t="s">
        <v>16</v>
      </c>
      <c r="B13" s="4">
        <v>50</v>
      </c>
      <c r="C13" s="4" t="s">
        <v>17</v>
      </c>
      <c r="D13" s="4">
        <v>30</v>
      </c>
      <c r="E13" s="37"/>
      <c r="F13" s="4" t="s">
        <v>19</v>
      </c>
      <c r="G13" s="23">
        <v>0</v>
      </c>
      <c r="I13" s="8" t="s">
        <v>16</v>
      </c>
      <c r="J13" s="4">
        <v>25</v>
      </c>
      <c r="K13" s="4" t="s">
        <v>17</v>
      </c>
      <c r="L13" s="4">
        <v>25</v>
      </c>
      <c r="M13" s="37"/>
      <c r="N13" s="4" t="s">
        <v>19</v>
      </c>
      <c r="O13" s="23">
        <v>0</v>
      </c>
      <c r="P13" s="29"/>
      <c r="Q13" s="8" t="s">
        <v>16</v>
      </c>
      <c r="R13" s="4">
        <v>20</v>
      </c>
      <c r="S13" s="4" t="s">
        <v>17</v>
      </c>
      <c r="T13" s="4"/>
      <c r="U13" s="37"/>
      <c r="V13" s="4" t="s">
        <v>19</v>
      </c>
      <c r="W13" s="23">
        <v>20</v>
      </c>
    </row>
    <row r="14" spans="1:26" x14ac:dyDescent="0.25">
      <c r="A14" s="8" t="s">
        <v>21</v>
      </c>
      <c r="B14" s="4">
        <f>COUNTIF(F19:F68,"*PASS*")</f>
        <v>48</v>
      </c>
      <c r="C14" s="4" t="s">
        <v>24</v>
      </c>
      <c r="D14" s="37"/>
      <c r="E14" s="37"/>
      <c r="F14" s="4" t="s">
        <v>26</v>
      </c>
      <c r="G14" s="23"/>
      <c r="I14" s="8" t="s">
        <v>21</v>
      </c>
      <c r="J14" s="37"/>
      <c r="K14" s="4" t="s">
        <v>24</v>
      </c>
      <c r="L14" s="37">
        <f>COUNTIF(N20:N68,"*PASS*")</f>
        <v>6</v>
      </c>
      <c r="M14" s="37"/>
      <c r="N14" s="4" t="s">
        <v>26</v>
      </c>
      <c r="O14" s="23"/>
      <c r="P14" s="29"/>
      <c r="Q14" s="8" t="s">
        <v>21</v>
      </c>
      <c r="R14" s="40">
        <f>COUNTIF(V19:V38,"*PASS*")</f>
        <v>12</v>
      </c>
      <c r="S14" s="4" t="s">
        <v>24</v>
      </c>
      <c r="T14" s="4"/>
      <c r="U14" s="37"/>
      <c r="V14" s="4" t="s">
        <v>26</v>
      </c>
      <c r="W14" s="23"/>
    </row>
    <row r="15" spans="1:26" x14ac:dyDescent="0.25">
      <c r="A15" s="8" t="s">
        <v>22</v>
      </c>
      <c r="B15" s="4">
        <f>COUNTIF(F19:F68,"*fail*")</f>
        <v>2</v>
      </c>
      <c r="C15" s="4" t="s">
        <v>18</v>
      </c>
      <c r="D15" s="37"/>
      <c r="E15" s="37"/>
      <c r="F15" s="4" t="s">
        <v>20</v>
      </c>
      <c r="G15" s="23"/>
      <c r="I15" s="8" t="s">
        <v>22</v>
      </c>
      <c r="J15" s="37"/>
      <c r="K15" s="4" t="s">
        <v>18</v>
      </c>
      <c r="L15" s="37">
        <f>COUNTIF(N20:N68,"*fail*")</f>
        <v>19</v>
      </c>
      <c r="M15" s="37"/>
      <c r="N15" s="4" t="s">
        <v>20</v>
      </c>
      <c r="O15" s="23"/>
      <c r="P15" s="29"/>
      <c r="Q15" s="8" t="s">
        <v>22</v>
      </c>
      <c r="R15" s="40">
        <f>COUNTIF(V19:V38,"*fail*")</f>
        <v>8</v>
      </c>
      <c r="S15" s="4" t="s">
        <v>18</v>
      </c>
      <c r="T15" s="4"/>
      <c r="U15" s="37"/>
      <c r="V15" s="4" t="s">
        <v>20</v>
      </c>
      <c r="W15" s="23"/>
    </row>
    <row r="16" spans="1:26" x14ac:dyDescent="0.25">
      <c r="A16" s="8" t="s">
        <v>23</v>
      </c>
      <c r="B16" s="4"/>
      <c r="C16" s="4" t="s">
        <v>25</v>
      </c>
      <c r="D16" s="4"/>
      <c r="E16" s="37"/>
      <c r="F16" s="4" t="s">
        <v>27</v>
      </c>
      <c r="G16" s="23"/>
      <c r="I16" s="8" t="s">
        <v>23</v>
      </c>
      <c r="J16" s="37"/>
      <c r="K16" s="4" t="s">
        <v>25</v>
      </c>
      <c r="L16" s="4"/>
      <c r="M16" s="37"/>
      <c r="N16" s="4" t="s">
        <v>27</v>
      </c>
      <c r="O16" s="23"/>
      <c r="P16" s="29"/>
      <c r="Q16" s="8" t="s">
        <v>23</v>
      </c>
      <c r="R16" s="40"/>
      <c r="S16" s="4" t="s">
        <v>25</v>
      </c>
      <c r="T16" s="4"/>
      <c r="U16" s="37"/>
      <c r="V16" s="4" t="s">
        <v>27</v>
      </c>
      <c r="W16" s="23"/>
    </row>
    <row r="17" spans="1:54" x14ac:dyDescent="0.25">
      <c r="A17" s="86"/>
      <c r="B17" s="87"/>
      <c r="C17" s="87"/>
      <c r="D17" s="87"/>
      <c r="E17" s="87"/>
      <c r="F17" s="87"/>
      <c r="G17" s="88"/>
      <c r="I17" s="86"/>
      <c r="J17" s="87"/>
      <c r="K17" s="87"/>
      <c r="L17" s="87"/>
      <c r="M17" s="87"/>
      <c r="N17" s="87"/>
      <c r="O17" s="88"/>
      <c r="P17" s="29"/>
      <c r="Q17" s="86"/>
      <c r="R17" s="87"/>
      <c r="S17" s="87"/>
      <c r="T17" s="87"/>
      <c r="U17" s="87"/>
      <c r="V17" s="87"/>
      <c r="W17" s="88"/>
    </row>
    <row r="18" spans="1:54" x14ac:dyDescent="0.25">
      <c r="A18" s="37" t="s">
        <v>2</v>
      </c>
      <c r="B18" s="37" t="s">
        <v>3</v>
      </c>
      <c r="C18" s="37" t="s">
        <v>1</v>
      </c>
      <c r="D18" s="37" t="s">
        <v>258</v>
      </c>
      <c r="E18" s="37" t="s">
        <v>259</v>
      </c>
      <c r="F18" s="37" t="s">
        <v>12</v>
      </c>
      <c r="G18" s="37" t="s">
        <v>13</v>
      </c>
      <c r="I18" s="37" t="s">
        <v>2</v>
      </c>
      <c r="J18" s="37" t="s">
        <v>3</v>
      </c>
      <c r="K18" s="39" t="s">
        <v>1</v>
      </c>
      <c r="L18" s="39" t="s">
        <v>258</v>
      </c>
      <c r="M18" s="39" t="s">
        <v>259</v>
      </c>
      <c r="N18" s="39" t="s">
        <v>12</v>
      </c>
      <c r="O18" s="39" t="s">
        <v>13</v>
      </c>
      <c r="P18" s="29"/>
      <c r="Q18" s="8" t="s">
        <v>2</v>
      </c>
      <c r="R18" s="4" t="s">
        <v>3</v>
      </c>
      <c r="S18" s="22" t="s">
        <v>1</v>
      </c>
      <c r="T18" s="22" t="s">
        <v>258</v>
      </c>
      <c r="U18" s="39" t="s">
        <v>259</v>
      </c>
      <c r="V18" s="22" t="s">
        <v>12</v>
      </c>
      <c r="W18" s="26" t="s">
        <v>13</v>
      </c>
    </row>
    <row r="19" spans="1:54" ht="17.25" x14ac:dyDescent="0.3">
      <c r="A19" s="37">
        <v>0</v>
      </c>
      <c r="B19" s="38" t="s">
        <v>83</v>
      </c>
      <c r="C19" s="39" t="s">
        <v>58</v>
      </c>
      <c r="D19" s="37" t="s">
        <v>162</v>
      </c>
      <c r="E19" s="58"/>
      <c r="F19" s="37" t="s">
        <v>208</v>
      </c>
      <c r="G19" s="55"/>
      <c r="H19" s="46"/>
      <c r="I19" s="37">
        <v>0</v>
      </c>
      <c r="J19" s="38"/>
      <c r="K19" s="39"/>
      <c r="L19" s="37"/>
      <c r="M19" s="37"/>
      <c r="N19" s="39"/>
      <c r="O19" s="56"/>
      <c r="P19" s="31"/>
      <c r="Q19" s="8">
        <v>56</v>
      </c>
      <c r="R19" s="38" t="s">
        <v>63</v>
      </c>
      <c r="S19" s="39" t="s">
        <v>59</v>
      </c>
      <c r="T19" s="37" t="s">
        <v>162</v>
      </c>
      <c r="U19" s="37"/>
      <c r="V19" s="39" t="s">
        <v>188</v>
      </c>
      <c r="W19" s="41"/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2"/>
      <c r="AX19" s="32"/>
      <c r="AY19" s="32"/>
      <c r="AZ19" s="32"/>
      <c r="BA19" s="32"/>
      <c r="BB19" s="32"/>
    </row>
    <row r="20" spans="1:54" ht="17.25" x14ac:dyDescent="0.3">
      <c r="A20" s="37">
        <v>1</v>
      </c>
      <c r="B20" s="38" t="s">
        <v>84</v>
      </c>
      <c r="C20" s="39" t="s">
        <v>58</v>
      </c>
      <c r="D20" s="37" t="s">
        <v>162</v>
      </c>
      <c r="E20" s="37"/>
      <c r="F20" s="37" t="s">
        <v>209</v>
      </c>
      <c r="G20" s="55"/>
      <c r="H20" s="46"/>
      <c r="I20" s="37">
        <v>1</v>
      </c>
      <c r="J20" s="38"/>
      <c r="K20" s="39"/>
      <c r="L20" s="37"/>
      <c r="M20" s="37"/>
      <c r="N20" s="39"/>
      <c r="O20" s="56"/>
      <c r="P20" s="31"/>
      <c r="Q20" s="8">
        <v>57</v>
      </c>
      <c r="R20" s="38" t="s">
        <v>64</v>
      </c>
      <c r="S20" s="39" t="s">
        <v>59</v>
      </c>
      <c r="T20" s="37" t="s">
        <v>162</v>
      </c>
      <c r="U20" s="37"/>
      <c r="V20" s="39" t="s">
        <v>189</v>
      </c>
      <c r="W20" s="41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</row>
    <row r="21" spans="1:54" ht="17.25" x14ac:dyDescent="0.3">
      <c r="A21" s="37">
        <v>2</v>
      </c>
      <c r="B21" s="38" t="s">
        <v>85</v>
      </c>
      <c r="C21" s="39" t="s">
        <v>58</v>
      </c>
      <c r="D21" s="37" t="s">
        <v>162</v>
      </c>
      <c r="E21" s="37"/>
      <c r="F21" s="37" t="s">
        <v>210</v>
      </c>
      <c r="G21" s="50"/>
      <c r="H21" s="46"/>
      <c r="I21" s="37">
        <v>2</v>
      </c>
      <c r="J21" s="38"/>
      <c r="K21" s="39"/>
      <c r="L21" s="37"/>
      <c r="M21" s="37"/>
      <c r="N21" s="39"/>
      <c r="O21" s="56"/>
      <c r="P21" s="31"/>
      <c r="Q21" s="8">
        <v>58</v>
      </c>
      <c r="R21" s="38" t="s">
        <v>65</v>
      </c>
      <c r="S21" s="39" t="s">
        <v>59</v>
      </c>
      <c r="T21" s="37" t="s">
        <v>162</v>
      </c>
      <c r="U21" s="37"/>
      <c r="V21" s="39" t="s">
        <v>190</v>
      </c>
      <c r="W21" s="4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</row>
    <row r="22" spans="1:54" ht="17.25" x14ac:dyDescent="0.3">
      <c r="A22" s="37">
        <v>3</v>
      </c>
      <c r="B22" s="38" t="s">
        <v>86</v>
      </c>
      <c r="C22" s="39" t="s">
        <v>58</v>
      </c>
      <c r="D22" s="37" t="s">
        <v>162</v>
      </c>
      <c r="E22" s="37"/>
      <c r="F22" s="37" t="s">
        <v>211</v>
      </c>
      <c r="G22" s="55"/>
      <c r="H22" s="46"/>
      <c r="I22" s="37">
        <v>3</v>
      </c>
      <c r="J22" s="38"/>
      <c r="K22" s="39"/>
      <c r="L22" s="37"/>
      <c r="M22" s="37"/>
      <c r="N22" s="39"/>
      <c r="O22" s="56"/>
      <c r="P22" s="31"/>
      <c r="Q22" s="8">
        <v>59</v>
      </c>
      <c r="R22" s="38" t="s">
        <v>66</v>
      </c>
      <c r="S22" s="39" t="s">
        <v>59</v>
      </c>
      <c r="T22" s="37" t="s">
        <v>162</v>
      </c>
      <c r="U22" s="37"/>
      <c r="V22" s="39" t="s">
        <v>191</v>
      </c>
      <c r="W22" s="39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</row>
    <row r="23" spans="1:54" ht="17.25" x14ac:dyDescent="0.3">
      <c r="A23" s="37">
        <v>4</v>
      </c>
      <c r="B23" s="38" t="s">
        <v>87</v>
      </c>
      <c r="C23" s="39" t="s">
        <v>58</v>
      </c>
      <c r="D23" s="37" t="s">
        <v>162</v>
      </c>
      <c r="E23" s="37"/>
      <c r="F23" s="37" t="s">
        <v>212</v>
      </c>
      <c r="G23" s="55"/>
      <c r="H23" s="46"/>
      <c r="I23" s="37">
        <v>4</v>
      </c>
      <c r="J23" s="38"/>
      <c r="K23" s="39"/>
      <c r="L23" s="37"/>
      <c r="M23" s="37"/>
      <c r="N23" s="39"/>
      <c r="O23" s="56"/>
      <c r="P23" s="31"/>
      <c r="Q23" s="8">
        <v>60</v>
      </c>
      <c r="R23" s="38" t="s">
        <v>67</v>
      </c>
      <c r="S23" s="39" t="s">
        <v>59</v>
      </c>
      <c r="T23" s="37" t="s">
        <v>162</v>
      </c>
      <c r="U23" s="37"/>
      <c r="V23" s="39" t="s">
        <v>192</v>
      </c>
      <c r="W23" s="39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</row>
    <row r="24" spans="1:54" ht="17.25" x14ac:dyDescent="0.3">
      <c r="A24" s="37">
        <v>5</v>
      </c>
      <c r="B24" s="38" t="s">
        <v>88</v>
      </c>
      <c r="C24" s="39" t="s">
        <v>58</v>
      </c>
      <c r="D24" s="37" t="s">
        <v>162</v>
      </c>
      <c r="E24" s="37"/>
      <c r="F24" s="37" t="s">
        <v>213</v>
      </c>
      <c r="G24" s="25"/>
      <c r="H24" s="46"/>
      <c r="I24" s="37">
        <v>5</v>
      </c>
      <c r="J24" s="38"/>
      <c r="K24" s="39"/>
      <c r="L24" s="37"/>
      <c r="M24" s="37"/>
      <c r="N24" s="39"/>
      <c r="O24" s="56"/>
      <c r="P24" s="31"/>
      <c r="Q24" s="8">
        <v>61</v>
      </c>
      <c r="R24" s="38" t="s">
        <v>68</v>
      </c>
      <c r="S24" s="39" t="s">
        <v>59</v>
      </c>
      <c r="T24" s="37" t="s">
        <v>162</v>
      </c>
      <c r="U24" s="37"/>
      <c r="V24" s="39" t="s">
        <v>193</v>
      </c>
      <c r="W24" s="39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</row>
    <row r="25" spans="1:54" ht="17.25" x14ac:dyDescent="0.3">
      <c r="A25" s="37">
        <v>6</v>
      </c>
      <c r="B25" s="38" t="s">
        <v>89</v>
      </c>
      <c r="C25" s="39" t="s">
        <v>58</v>
      </c>
      <c r="D25" s="37" t="s">
        <v>162</v>
      </c>
      <c r="E25" s="37"/>
      <c r="F25" s="37" t="s">
        <v>214</v>
      </c>
      <c r="G25" s="55"/>
      <c r="H25" s="46"/>
      <c r="I25" s="37">
        <v>6</v>
      </c>
      <c r="J25" s="38"/>
      <c r="K25" s="39"/>
      <c r="L25" s="37"/>
      <c r="M25" s="37"/>
      <c r="N25" s="39"/>
      <c r="O25" s="56"/>
      <c r="P25" s="31"/>
      <c r="Q25" s="8">
        <v>62</v>
      </c>
      <c r="R25" s="38" t="s">
        <v>69</v>
      </c>
      <c r="S25" s="39" t="s">
        <v>59</v>
      </c>
      <c r="T25" s="37" t="s">
        <v>162</v>
      </c>
      <c r="U25" s="37"/>
      <c r="V25" s="39" t="s">
        <v>194</v>
      </c>
      <c r="W25" s="39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</row>
    <row r="26" spans="1:54" ht="17.25" x14ac:dyDescent="0.3">
      <c r="A26" s="37">
        <v>7</v>
      </c>
      <c r="B26" s="38" t="s">
        <v>90</v>
      </c>
      <c r="C26" s="39" t="s">
        <v>58</v>
      </c>
      <c r="D26" s="37" t="s">
        <v>162</v>
      </c>
      <c r="E26" s="37"/>
      <c r="F26" s="37" t="s">
        <v>215</v>
      </c>
      <c r="G26" s="24"/>
      <c r="H26" s="46"/>
      <c r="I26" s="37">
        <v>7</v>
      </c>
      <c r="J26" s="38"/>
      <c r="K26" s="39"/>
      <c r="L26" s="37"/>
      <c r="M26" s="37"/>
      <c r="N26" s="39"/>
      <c r="O26" s="56"/>
      <c r="P26" s="31"/>
      <c r="Q26" s="8">
        <v>63</v>
      </c>
      <c r="R26" s="38" t="s">
        <v>70</v>
      </c>
      <c r="S26" s="39" t="s">
        <v>59</v>
      </c>
      <c r="T26" s="37" t="s">
        <v>162</v>
      </c>
      <c r="U26" s="37"/>
      <c r="V26" s="39" t="s">
        <v>195</v>
      </c>
      <c r="W26" s="38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</row>
    <row r="27" spans="1:54" ht="17.25" x14ac:dyDescent="0.3">
      <c r="A27" s="37">
        <v>8</v>
      </c>
      <c r="B27" s="38" t="s">
        <v>91</v>
      </c>
      <c r="C27" s="39" t="s">
        <v>58</v>
      </c>
      <c r="D27" s="37" t="s">
        <v>162</v>
      </c>
      <c r="E27" s="37"/>
      <c r="F27" s="37" t="s">
        <v>216</v>
      </c>
      <c r="G27" s="50"/>
      <c r="H27" s="46"/>
      <c r="I27" s="37">
        <v>8</v>
      </c>
      <c r="J27" s="38"/>
      <c r="K27" s="39"/>
      <c r="L27" s="37"/>
      <c r="M27" s="37"/>
      <c r="N27" s="39"/>
      <c r="O27" s="56"/>
      <c r="P27" s="31"/>
      <c r="Q27" s="8">
        <v>64</v>
      </c>
      <c r="R27" s="38" t="s">
        <v>71</v>
      </c>
      <c r="S27" s="39" t="s">
        <v>59</v>
      </c>
      <c r="T27" s="37" t="s">
        <v>162</v>
      </c>
      <c r="U27" s="37"/>
      <c r="V27" s="39" t="s">
        <v>196</v>
      </c>
      <c r="W27" s="39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</row>
    <row r="28" spans="1:54" ht="17.25" x14ac:dyDescent="0.3">
      <c r="A28" s="37">
        <v>9</v>
      </c>
      <c r="B28" s="38" t="s">
        <v>92</v>
      </c>
      <c r="C28" s="39" t="s">
        <v>58</v>
      </c>
      <c r="D28" s="37" t="s">
        <v>162</v>
      </c>
      <c r="E28" s="37"/>
      <c r="F28" s="37" t="s">
        <v>217</v>
      </c>
      <c r="G28" s="50"/>
      <c r="H28" s="46"/>
      <c r="I28" s="37">
        <v>9</v>
      </c>
      <c r="J28" s="38"/>
      <c r="K28" s="39"/>
      <c r="L28" s="37"/>
      <c r="M28" s="37"/>
      <c r="N28" s="39"/>
      <c r="O28" s="56"/>
      <c r="P28" s="31"/>
      <c r="Q28" s="8">
        <v>65</v>
      </c>
      <c r="R28" s="38" t="s">
        <v>72</v>
      </c>
      <c r="S28" s="39" t="s">
        <v>59</v>
      </c>
      <c r="T28" s="37" t="s">
        <v>162</v>
      </c>
      <c r="U28" s="37"/>
      <c r="V28" s="39" t="s">
        <v>197</v>
      </c>
      <c r="W28" s="39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</row>
    <row r="29" spans="1:54" ht="17.25" x14ac:dyDescent="0.3">
      <c r="A29" s="37">
        <v>10</v>
      </c>
      <c r="B29" s="38" t="s">
        <v>93</v>
      </c>
      <c r="C29" s="39" t="s">
        <v>58</v>
      </c>
      <c r="D29" s="37" t="s">
        <v>162</v>
      </c>
      <c r="E29" s="37"/>
      <c r="F29" s="37" t="s">
        <v>218</v>
      </c>
      <c r="G29" s="25"/>
      <c r="H29" s="46"/>
      <c r="I29" s="37">
        <v>10</v>
      </c>
      <c r="J29" s="38"/>
      <c r="K29" s="39"/>
      <c r="L29" s="37"/>
      <c r="M29" s="37"/>
      <c r="N29" s="39"/>
      <c r="O29" s="56"/>
      <c r="P29" s="31"/>
      <c r="Q29" s="8">
        <v>66</v>
      </c>
      <c r="R29" s="38" t="s">
        <v>73</v>
      </c>
      <c r="S29" s="39" t="s">
        <v>59</v>
      </c>
      <c r="T29" s="37" t="s">
        <v>162</v>
      </c>
      <c r="U29" s="37"/>
      <c r="V29" s="39" t="s">
        <v>198</v>
      </c>
      <c r="W29" s="39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</row>
    <row r="30" spans="1:54" ht="17.25" x14ac:dyDescent="0.3">
      <c r="A30" s="37">
        <v>11</v>
      </c>
      <c r="B30" s="38" t="s">
        <v>94</v>
      </c>
      <c r="C30" s="39" t="s">
        <v>58</v>
      </c>
      <c r="D30" s="37" t="s">
        <v>162</v>
      </c>
      <c r="E30" s="37"/>
      <c r="F30" s="37" t="s">
        <v>219</v>
      </c>
      <c r="G30" s="55"/>
      <c r="H30" s="46"/>
      <c r="I30" s="37">
        <v>11</v>
      </c>
      <c r="J30" s="38"/>
      <c r="K30" s="39"/>
      <c r="L30" s="37"/>
      <c r="M30" s="37"/>
      <c r="N30" s="39"/>
      <c r="O30" s="56"/>
      <c r="P30" s="31"/>
      <c r="Q30" s="8">
        <v>67</v>
      </c>
      <c r="R30" s="38" t="s">
        <v>74</v>
      </c>
      <c r="S30" s="39" t="s">
        <v>59</v>
      </c>
      <c r="T30" s="37" t="s">
        <v>162</v>
      </c>
      <c r="U30" s="37"/>
      <c r="V30" s="39" t="s">
        <v>199</v>
      </c>
      <c r="W30" s="5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</row>
    <row r="31" spans="1:54" ht="17.25" x14ac:dyDescent="0.3">
      <c r="A31" s="37">
        <v>12</v>
      </c>
      <c r="B31" s="38" t="s">
        <v>95</v>
      </c>
      <c r="C31" s="39" t="s">
        <v>58</v>
      </c>
      <c r="D31" s="37" t="s">
        <v>162</v>
      </c>
      <c r="E31" s="37"/>
      <c r="F31" s="37" t="s">
        <v>220</v>
      </c>
      <c r="G31" s="55"/>
      <c r="H31" s="46"/>
      <c r="I31" s="37">
        <v>12</v>
      </c>
      <c r="J31" s="38"/>
      <c r="K31" s="39"/>
      <c r="L31" s="37"/>
      <c r="M31" s="37"/>
      <c r="N31" s="39"/>
      <c r="O31" s="56"/>
      <c r="P31" s="31"/>
      <c r="Q31" s="8">
        <v>68</v>
      </c>
      <c r="R31" s="38" t="s">
        <v>75</v>
      </c>
      <c r="S31" s="39" t="s">
        <v>59</v>
      </c>
      <c r="T31" s="37" t="s">
        <v>162</v>
      </c>
      <c r="U31" s="37"/>
      <c r="V31" s="39" t="s">
        <v>200</v>
      </c>
      <c r="W31" s="41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</row>
    <row r="32" spans="1:54" ht="17.25" x14ac:dyDescent="0.3">
      <c r="A32" s="37">
        <v>13</v>
      </c>
      <c r="B32" s="38" t="s">
        <v>96</v>
      </c>
      <c r="C32" s="39" t="s">
        <v>58</v>
      </c>
      <c r="D32" s="37" t="s">
        <v>162</v>
      </c>
      <c r="E32" s="37"/>
      <c r="F32" s="37" t="s">
        <v>221</v>
      </c>
      <c r="G32" s="25"/>
      <c r="H32" s="46"/>
      <c r="I32" s="37">
        <v>13</v>
      </c>
      <c r="J32" s="38"/>
      <c r="K32" s="39"/>
      <c r="L32" s="37"/>
      <c r="M32" s="37"/>
      <c r="N32" s="39"/>
      <c r="O32" s="56"/>
      <c r="P32" s="31"/>
      <c r="Q32" s="8">
        <v>69</v>
      </c>
      <c r="R32" s="38" t="s">
        <v>76</v>
      </c>
      <c r="S32" s="39" t="s">
        <v>59</v>
      </c>
      <c r="T32" s="37" t="s">
        <v>162</v>
      </c>
      <c r="U32" s="37"/>
      <c r="V32" s="39" t="s">
        <v>201</v>
      </c>
      <c r="W32" s="41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</row>
    <row r="33" spans="1:54" ht="17.25" x14ac:dyDescent="0.3">
      <c r="A33" s="37">
        <v>14</v>
      </c>
      <c r="B33" s="38" t="s">
        <v>97</v>
      </c>
      <c r="C33" s="39" t="s">
        <v>58</v>
      </c>
      <c r="D33" s="37" t="s">
        <v>162</v>
      </c>
      <c r="E33" s="37"/>
      <c r="F33" s="37" t="s">
        <v>222</v>
      </c>
      <c r="G33" s="50"/>
      <c r="H33" s="46"/>
      <c r="I33" s="37">
        <v>14</v>
      </c>
      <c r="J33" s="38"/>
      <c r="K33" s="39"/>
      <c r="L33" s="37"/>
      <c r="M33" s="37"/>
      <c r="N33" s="39"/>
      <c r="O33" s="56"/>
      <c r="P33" s="31"/>
      <c r="Q33" s="8">
        <v>70</v>
      </c>
      <c r="R33" s="38" t="s">
        <v>77</v>
      </c>
      <c r="S33" s="39" t="s">
        <v>59</v>
      </c>
      <c r="T33" s="37" t="s">
        <v>162</v>
      </c>
      <c r="U33" s="37"/>
      <c r="V33" s="39" t="s">
        <v>202</v>
      </c>
      <c r="W33" s="41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</row>
    <row r="34" spans="1:54" ht="17.25" x14ac:dyDescent="0.3">
      <c r="A34" s="37">
        <v>15</v>
      </c>
      <c r="B34" s="38" t="s">
        <v>98</v>
      </c>
      <c r="C34" s="39" t="s">
        <v>58</v>
      </c>
      <c r="D34" s="37" t="s">
        <v>162</v>
      </c>
      <c r="E34" s="37"/>
      <c r="F34" s="37" t="s">
        <v>223</v>
      </c>
      <c r="G34" s="25"/>
      <c r="H34" s="46"/>
      <c r="I34" s="37">
        <v>15</v>
      </c>
      <c r="J34" s="38"/>
      <c r="K34" s="39"/>
      <c r="L34" s="37"/>
      <c r="M34" s="37"/>
      <c r="N34" s="39"/>
      <c r="O34" s="56"/>
      <c r="P34" s="31"/>
      <c r="Q34" s="8">
        <v>71</v>
      </c>
      <c r="R34" s="38" t="s">
        <v>78</v>
      </c>
      <c r="S34" s="39" t="s">
        <v>59</v>
      </c>
      <c r="T34" s="37" t="s">
        <v>162</v>
      </c>
      <c r="U34" s="37"/>
      <c r="V34" s="39" t="s">
        <v>203</v>
      </c>
      <c r="W34" s="41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</row>
    <row r="35" spans="1:54" ht="17.25" x14ac:dyDescent="0.3">
      <c r="A35" s="37">
        <v>16</v>
      </c>
      <c r="B35" s="38" t="s">
        <v>99</v>
      </c>
      <c r="C35" s="39" t="s">
        <v>58</v>
      </c>
      <c r="D35" s="37" t="s">
        <v>162</v>
      </c>
      <c r="E35" s="37"/>
      <c r="F35" s="37" t="s">
        <v>224</v>
      </c>
      <c r="G35" s="25"/>
      <c r="H35" s="46"/>
      <c r="I35" s="37">
        <v>16</v>
      </c>
      <c r="J35" s="38"/>
      <c r="K35" s="39"/>
      <c r="L35" s="37"/>
      <c r="M35" s="37"/>
      <c r="N35" s="39"/>
      <c r="O35" s="56"/>
      <c r="P35" s="31"/>
      <c r="Q35" s="8">
        <v>72</v>
      </c>
      <c r="R35" s="38" t="s">
        <v>79</v>
      </c>
      <c r="S35" s="39" t="s">
        <v>59</v>
      </c>
      <c r="T35" s="37" t="s">
        <v>162</v>
      </c>
      <c r="U35" s="37"/>
      <c r="V35" s="39" t="s">
        <v>204</v>
      </c>
      <c r="W35" s="41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</row>
    <row r="36" spans="1:54" ht="17.25" x14ac:dyDescent="0.3">
      <c r="A36" s="37">
        <v>17</v>
      </c>
      <c r="B36" s="38" t="s">
        <v>100</v>
      </c>
      <c r="C36" s="39" t="s">
        <v>58</v>
      </c>
      <c r="D36" s="37" t="s">
        <v>162</v>
      </c>
      <c r="E36" s="37"/>
      <c r="F36" s="37" t="s">
        <v>225</v>
      </c>
      <c r="G36" s="50"/>
      <c r="H36" s="46"/>
      <c r="I36" s="37">
        <v>17</v>
      </c>
      <c r="J36" s="38"/>
      <c r="K36" s="39"/>
      <c r="L36" s="37"/>
      <c r="M36" s="37"/>
      <c r="N36" s="39"/>
      <c r="O36" s="56"/>
      <c r="P36" s="31"/>
      <c r="Q36" s="8">
        <v>73</v>
      </c>
      <c r="R36" s="38" t="s">
        <v>80</v>
      </c>
      <c r="S36" s="39" t="s">
        <v>59</v>
      </c>
      <c r="T36" s="37" t="s">
        <v>162</v>
      </c>
      <c r="U36" s="37"/>
      <c r="V36" s="39" t="s">
        <v>205</v>
      </c>
      <c r="W36" s="41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</row>
    <row r="37" spans="1:54" ht="17.25" x14ac:dyDescent="0.3">
      <c r="A37" s="37">
        <v>18</v>
      </c>
      <c r="B37" s="38" t="s">
        <v>101</v>
      </c>
      <c r="C37" s="39" t="s">
        <v>58</v>
      </c>
      <c r="D37" s="37" t="s">
        <v>162</v>
      </c>
      <c r="E37" s="37"/>
      <c r="F37" s="37" t="s">
        <v>226</v>
      </c>
      <c r="G37" s="24"/>
      <c r="H37" s="46"/>
      <c r="I37" s="37">
        <v>18</v>
      </c>
      <c r="J37" s="38"/>
      <c r="K37" s="39"/>
      <c r="L37" s="37"/>
      <c r="M37" s="37"/>
      <c r="N37" s="39"/>
      <c r="O37" s="56"/>
      <c r="P37" s="31"/>
      <c r="Q37" s="8">
        <v>74</v>
      </c>
      <c r="R37" s="38" t="s">
        <v>81</v>
      </c>
      <c r="S37" s="39" t="s">
        <v>59</v>
      </c>
      <c r="T37" s="37" t="s">
        <v>162</v>
      </c>
      <c r="U37" s="37"/>
      <c r="V37" s="39" t="s">
        <v>206</v>
      </c>
      <c r="W37" s="41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</row>
    <row r="38" spans="1:54" ht="18" thickBot="1" x14ac:dyDescent="0.35">
      <c r="A38" s="37">
        <v>19</v>
      </c>
      <c r="B38" s="38" t="s">
        <v>102</v>
      </c>
      <c r="C38" s="39" t="s">
        <v>58</v>
      </c>
      <c r="D38" s="37" t="s">
        <v>162</v>
      </c>
      <c r="E38" s="37"/>
      <c r="F38" s="37" t="s">
        <v>227</v>
      </c>
      <c r="G38" s="55"/>
      <c r="H38" s="46"/>
      <c r="I38" s="37">
        <v>19</v>
      </c>
      <c r="J38" s="38"/>
      <c r="K38" s="39"/>
      <c r="L38" s="37"/>
      <c r="M38" s="37"/>
      <c r="N38" s="39"/>
      <c r="O38" s="56"/>
      <c r="P38" s="31"/>
      <c r="Q38" s="9">
        <v>75</v>
      </c>
      <c r="R38" s="38" t="s">
        <v>82</v>
      </c>
      <c r="S38" s="39" t="s">
        <v>59</v>
      </c>
      <c r="T38" s="37" t="s">
        <v>162</v>
      </c>
      <c r="U38" s="37"/>
      <c r="V38" s="39" t="s">
        <v>207</v>
      </c>
      <c r="W38" s="48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</row>
    <row r="39" spans="1:54" ht="17.25" x14ac:dyDescent="0.3">
      <c r="A39" s="37">
        <v>20</v>
      </c>
      <c r="B39" s="38" t="s">
        <v>103</v>
      </c>
      <c r="C39" s="39" t="s">
        <v>58</v>
      </c>
      <c r="D39" s="37" t="s">
        <v>162</v>
      </c>
      <c r="E39" s="37"/>
      <c r="F39" s="37" t="s">
        <v>228</v>
      </c>
      <c r="G39" s="50"/>
      <c r="H39" s="46"/>
      <c r="I39" s="37">
        <v>20</v>
      </c>
      <c r="J39" s="38"/>
      <c r="K39" s="39"/>
      <c r="L39" s="37"/>
      <c r="M39" s="37"/>
      <c r="N39" s="39"/>
      <c r="O39" s="56"/>
      <c r="P39" s="31"/>
      <c r="Q39" s="31"/>
      <c r="R39" s="31"/>
      <c r="S39" s="31"/>
      <c r="T39" s="31"/>
      <c r="U39" s="46"/>
      <c r="V39" s="31"/>
      <c r="W39" s="33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</row>
    <row r="40" spans="1:54" ht="17.25" x14ac:dyDescent="0.3">
      <c r="A40" s="37">
        <v>21</v>
      </c>
      <c r="B40" s="38" t="s">
        <v>104</v>
      </c>
      <c r="C40" s="39" t="s">
        <v>58</v>
      </c>
      <c r="D40" s="37" t="s">
        <v>162</v>
      </c>
      <c r="E40" s="37"/>
      <c r="F40" s="37" t="s">
        <v>229</v>
      </c>
      <c r="G40" s="50"/>
      <c r="H40" s="46"/>
      <c r="I40" s="37">
        <v>21</v>
      </c>
      <c r="J40" s="38"/>
      <c r="K40" s="39"/>
      <c r="L40" s="37"/>
      <c r="M40" s="37"/>
      <c r="N40" s="39"/>
      <c r="O40" s="56"/>
      <c r="P40" s="31"/>
      <c r="Q40" s="31"/>
      <c r="R40" s="31"/>
      <c r="S40" s="31"/>
      <c r="T40" s="31"/>
      <c r="U40" s="46"/>
      <c r="V40" s="31"/>
      <c r="W40" s="33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</row>
    <row r="41" spans="1:54" ht="17.25" x14ac:dyDescent="0.3">
      <c r="A41" s="37">
        <v>22</v>
      </c>
      <c r="B41" s="38" t="s">
        <v>105</v>
      </c>
      <c r="C41" s="39" t="s">
        <v>58</v>
      </c>
      <c r="D41" s="37" t="s">
        <v>162</v>
      </c>
      <c r="E41" s="37"/>
      <c r="F41" s="37" t="s">
        <v>230</v>
      </c>
      <c r="G41" s="50"/>
      <c r="H41" s="46"/>
      <c r="I41" s="37">
        <v>22</v>
      </c>
      <c r="J41" s="38"/>
      <c r="K41" s="39"/>
      <c r="L41" s="37"/>
      <c r="M41" s="37"/>
      <c r="N41" s="39"/>
      <c r="O41" s="56"/>
      <c r="P41" s="31"/>
      <c r="Q41" s="31"/>
      <c r="R41" s="31"/>
      <c r="S41" s="31"/>
      <c r="T41" s="31"/>
      <c r="U41" s="46"/>
      <c r="V41" s="31"/>
      <c r="W41" s="33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</row>
    <row r="42" spans="1:54" ht="17.25" x14ac:dyDescent="0.3">
      <c r="A42" s="37">
        <v>23</v>
      </c>
      <c r="B42" s="38" t="s">
        <v>106</v>
      </c>
      <c r="C42" s="39" t="s">
        <v>58</v>
      </c>
      <c r="D42" s="37" t="s">
        <v>162</v>
      </c>
      <c r="E42" s="37"/>
      <c r="F42" s="37" t="s">
        <v>231</v>
      </c>
      <c r="G42" s="50"/>
      <c r="H42" s="46"/>
      <c r="I42" s="37">
        <v>23</v>
      </c>
      <c r="J42" s="38"/>
      <c r="K42" s="39"/>
      <c r="L42" s="37"/>
      <c r="M42" s="37"/>
      <c r="N42" s="39"/>
      <c r="O42" s="56"/>
      <c r="P42" s="31"/>
      <c r="Q42" s="31"/>
      <c r="R42" s="31"/>
      <c r="S42" s="31"/>
      <c r="T42" s="31"/>
      <c r="U42" s="46"/>
      <c r="V42" s="31"/>
      <c r="W42" s="33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</row>
    <row r="43" spans="1:54" ht="17.25" x14ac:dyDescent="0.3">
      <c r="A43" s="37">
        <v>24</v>
      </c>
      <c r="B43" s="38" t="s">
        <v>107</v>
      </c>
      <c r="C43" s="39" t="s">
        <v>58</v>
      </c>
      <c r="D43" s="37" t="s">
        <v>162</v>
      </c>
      <c r="E43" s="37"/>
      <c r="F43" s="37" t="s">
        <v>232</v>
      </c>
      <c r="G43" s="50"/>
      <c r="H43" s="46"/>
      <c r="I43" s="37">
        <v>24</v>
      </c>
      <c r="J43" s="38"/>
      <c r="K43" s="39"/>
      <c r="L43" s="37"/>
      <c r="M43" s="37"/>
      <c r="N43" s="39"/>
      <c r="O43" s="56"/>
      <c r="P43" s="31"/>
      <c r="Q43" s="31"/>
      <c r="R43" s="31"/>
      <c r="S43" s="31"/>
      <c r="T43" s="31"/>
      <c r="U43" s="46"/>
      <c r="V43" s="31"/>
      <c r="W43" s="33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</row>
    <row r="44" spans="1:54" ht="17.25" x14ac:dyDescent="0.3">
      <c r="A44" s="37">
        <v>25</v>
      </c>
      <c r="B44" s="38" t="s">
        <v>108</v>
      </c>
      <c r="C44" s="39" t="s">
        <v>58</v>
      </c>
      <c r="D44" s="37" t="s">
        <v>162</v>
      </c>
      <c r="E44" s="37"/>
      <c r="F44" s="37" t="s">
        <v>233</v>
      </c>
      <c r="G44" s="24"/>
      <c r="H44" s="46"/>
      <c r="I44" s="37">
        <v>25</v>
      </c>
      <c r="J44" s="54" t="s">
        <v>133</v>
      </c>
      <c r="K44" s="39" t="s">
        <v>60</v>
      </c>
      <c r="L44" s="37" t="s">
        <v>162</v>
      </c>
      <c r="M44" s="37"/>
      <c r="N44" s="39" t="s">
        <v>163</v>
      </c>
      <c r="O44" s="56"/>
      <c r="P44" s="31"/>
      <c r="Q44" s="31"/>
      <c r="R44" s="31"/>
      <c r="S44" s="31"/>
      <c r="T44" s="31"/>
      <c r="U44" s="46"/>
      <c r="V44" s="31"/>
      <c r="W44" s="33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</row>
    <row r="45" spans="1:54" ht="17.25" x14ac:dyDescent="0.3">
      <c r="A45" s="37">
        <v>26</v>
      </c>
      <c r="B45" s="38" t="s">
        <v>109</v>
      </c>
      <c r="C45" s="39" t="s">
        <v>58</v>
      </c>
      <c r="D45" s="37" t="s">
        <v>162</v>
      </c>
      <c r="E45" s="37"/>
      <c r="F45" s="37" t="s">
        <v>234</v>
      </c>
      <c r="G45" s="50"/>
      <c r="H45" s="46"/>
      <c r="I45" s="37">
        <v>26</v>
      </c>
      <c r="J45" s="54" t="s">
        <v>134</v>
      </c>
      <c r="K45" s="39" t="s">
        <v>60</v>
      </c>
      <c r="L45" s="37" t="s">
        <v>162</v>
      </c>
      <c r="M45" s="37"/>
      <c r="N45" s="39" t="s">
        <v>164</v>
      </c>
      <c r="O45" s="56"/>
      <c r="P45" s="31"/>
      <c r="Q45" s="31"/>
      <c r="R45" s="31"/>
      <c r="S45" s="31"/>
      <c r="T45" s="31"/>
      <c r="U45" s="46"/>
      <c r="V45" s="31"/>
      <c r="W45" s="33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</row>
    <row r="46" spans="1:54" ht="17.25" x14ac:dyDescent="0.3">
      <c r="A46" s="37">
        <v>27</v>
      </c>
      <c r="B46" s="38" t="s">
        <v>110</v>
      </c>
      <c r="C46" s="39" t="s">
        <v>58</v>
      </c>
      <c r="D46" s="37" t="s">
        <v>162</v>
      </c>
      <c r="E46" s="37"/>
      <c r="F46" s="37" t="s">
        <v>235</v>
      </c>
      <c r="G46" s="24"/>
      <c r="H46" s="46"/>
      <c r="I46" s="37">
        <v>27</v>
      </c>
      <c r="J46" s="54" t="s">
        <v>135</v>
      </c>
      <c r="K46" s="39" t="s">
        <v>60</v>
      </c>
      <c r="L46" s="37" t="s">
        <v>162</v>
      </c>
      <c r="M46" s="37"/>
      <c r="N46" s="39" t="s">
        <v>165</v>
      </c>
      <c r="O46" s="56"/>
      <c r="P46" s="31"/>
      <c r="Q46" s="31"/>
      <c r="R46" s="31"/>
      <c r="S46" s="31"/>
      <c r="T46" s="31"/>
      <c r="U46" s="46"/>
      <c r="V46" s="31"/>
      <c r="W46" s="33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</row>
    <row r="47" spans="1:54" ht="17.25" x14ac:dyDescent="0.3">
      <c r="A47" s="37">
        <v>28</v>
      </c>
      <c r="B47" s="38" t="s">
        <v>111</v>
      </c>
      <c r="C47" s="39" t="s">
        <v>58</v>
      </c>
      <c r="D47" s="37" t="s">
        <v>162</v>
      </c>
      <c r="E47" s="37"/>
      <c r="F47" s="37" t="s">
        <v>236</v>
      </c>
      <c r="G47" s="50"/>
      <c r="H47" s="46"/>
      <c r="I47" s="37">
        <v>28</v>
      </c>
      <c r="J47" s="54" t="s">
        <v>136</v>
      </c>
      <c r="K47" s="39" t="s">
        <v>60</v>
      </c>
      <c r="L47" s="37" t="s">
        <v>162</v>
      </c>
      <c r="M47" s="37"/>
      <c r="N47" s="39" t="s">
        <v>166</v>
      </c>
      <c r="O47" s="56"/>
      <c r="P47" s="31"/>
      <c r="Q47" s="31"/>
      <c r="R47" s="31"/>
      <c r="S47" s="31"/>
      <c r="T47" s="31"/>
      <c r="U47" s="46"/>
      <c r="V47" s="31"/>
      <c r="W47" s="33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</row>
    <row r="48" spans="1:54" ht="17.25" x14ac:dyDescent="0.3">
      <c r="A48" s="37">
        <v>29</v>
      </c>
      <c r="B48" s="38" t="s">
        <v>112</v>
      </c>
      <c r="C48" s="39" t="s">
        <v>58</v>
      </c>
      <c r="D48" s="37" t="s">
        <v>162</v>
      </c>
      <c r="E48" s="37"/>
      <c r="F48" s="37" t="s">
        <v>237</v>
      </c>
      <c r="G48" s="50"/>
      <c r="H48" s="46"/>
      <c r="I48" s="37">
        <v>29</v>
      </c>
      <c r="J48" s="54" t="s">
        <v>137</v>
      </c>
      <c r="K48" s="39" t="s">
        <v>60</v>
      </c>
      <c r="L48" s="37" t="s">
        <v>162</v>
      </c>
      <c r="M48" s="37"/>
      <c r="N48" s="39" t="s">
        <v>167</v>
      </c>
      <c r="O48" s="56"/>
      <c r="P48" s="31"/>
      <c r="Q48" s="31"/>
      <c r="R48" s="31"/>
      <c r="S48" s="31"/>
      <c r="T48" s="31"/>
      <c r="U48" s="46"/>
      <c r="V48" s="31"/>
      <c r="W48" s="33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</row>
    <row r="49" spans="1:54" ht="17.25" x14ac:dyDescent="0.3">
      <c r="A49" s="37">
        <v>30</v>
      </c>
      <c r="B49" s="38" t="s">
        <v>113</v>
      </c>
      <c r="C49" s="39" t="s">
        <v>58</v>
      </c>
      <c r="D49" s="37" t="s">
        <v>162</v>
      </c>
      <c r="E49" s="37"/>
      <c r="F49" s="37" t="s">
        <v>238</v>
      </c>
      <c r="G49" s="50"/>
      <c r="H49" s="46"/>
      <c r="I49" s="37">
        <v>30</v>
      </c>
      <c r="J49" s="54" t="s">
        <v>138</v>
      </c>
      <c r="K49" s="39" t="s">
        <v>60</v>
      </c>
      <c r="L49" s="37" t="s">
        <v>162</v>
      </c>
      <c r="M49" s="37"/>
      <c r="N49" s="39" t="s">
        <v>168</v>
      </c>
      <c r="O49" s="56"/>
      <c r="P49" s="31"/>
      <c r="Q49" s="31"/>
      <c r="R49" s="31"/>
      <c r="S49" s="31"/>
      <c r="T49" s="31"/>
      <c r="U49" s="46"/>
      <c r="V49" s="31"/>
      <c r="W49" s="33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</row>
    <row r="50" spans="1:54" ht="17.25" x14ac:dyDescent="0.3">
      <c r="A50" s="37">
        <v>31</v>
      </c>
      <c r="B50" s="38" t="s">
        <v>114</v>
      </c>
      <c r="C50" s="39" t="s">
        <v>58</v>
      </c>
      <c r="D50" s="37" t="s">
        <v>162</v>
      </c>
      <c r="E50" s="37"/>
      <c r="F50" s="37" t="s">
        <v>239</v>
      </c>
      <c r="G50" s="55"/>
      <c r="H50" s="46"/>
      <c r="I50" s="37">
        <v>31</v>
      </c>
      <c r="J50" s="54" t="s">
        <v>139</v>
      </c>
      <c r="K50" s="39" t="s">
        <v>60</v>
      </c>
      <c r="L50" s="37" t="s">
        <v>162</v>
      </c>
      <c r="M50" s="37"/>
      <c r="N50" s="39" t="s">
        <v>169</v>
      </c>
      <c r="O50" s="56"/>
      <c r="P50" s="31"/>
      <c r="Q50" s="31"/>
      <c r="R50" s="31"/>
      <c r="S50" s="31"/>
      <c r="T50" s="31"/>
      <c r="U50" s="46"/>
      <c r="V50" s="31"/>
      <c r="W50" s="33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</row>
    <row r="51" spans="1:54" ht="17.25" x14ac:dyDescent="0.3">
      <c r="A51" s="37">
        <v>32</v>
      </c>
      <c r="B51" s="38" t="s">
        <v>115</v>
      </c>
      <c r="C51" s="39" t="s">
        <v>58</v>
      </c>
      <c r="D51" s="37" t="s">
        <v>162</v>
      </c>
      <c r="E51" s="37"/>
      <c r="F51" s="37" t="s">
        <v>240</v>
      </c>
      <c r="G51" s="50"/>
      <c r="H51" s="46"/>
      <c r="I51" s="37">
        <v>32</v>
      </c>
      <c r="J51" s="54" t="s">
        <v>140</v>
      </c>
      <c r="K51" s="39" t="s">
        <v>60</v>
      </c>
      <c r="L51" s="37" t="s">
        <v>162</v>
      </c>
      <c r="M51" s="37"/>
      <c r="N51" s="39" t="s">
        <v>170</v>
      </c>
      <c r="O51" s="56"/>
      <c r="P51" s="31"/>
      <c r="Q51" s="31"/>
      <c r="R51" s="31"/>
      <c r="S51" s="31"/>
      <c r="T51" s="31"/>
      <c r="U51" s="46"/>
      <c r="V51" s="31"/>
      <c r="W51" s="33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</row>
    <row r="52" spans="1:54" ht="17.25" x14ac:dyDescent="0.3">
      <c r="A52" s="37">
        <v>33</v>
      </c>
      <c r="B52" s="38" t="s">
        <v>116</v>
      </c>
      <c r="C52" s="39" t="s">
        <v>58</v>
      </c>
      <c r="D52" s="37" t="s">
        <v>162</v>
      </c>
      <c r="E52" s="37"/>
      <c r="F52" s="37" t="s">
        <v>241</v>
      </c>
      <c r="G52" s="24"/>
      <c r="H52" s="46"/>
      <c r="I52" s="37">
        <v>33</v>
      </c>
      <c r="J52" s="54" t="s">
        <v>141</v>
      </c>
      <c r="K52" s="39" t="s">
        <v>60</v>
      </c>
      <c r="L52" s="37" t="s">
        <v>162</v>
      </c>
      <c r="M52" s="37"/>
      <c r="N52" s="39" t="s">
        <v>171</v>
      </c>
      <c r="O52" s="56"/>
      <c r="P52" s="31"/>
      <c r="Q52" s="31"/>
      <c r="R52" s="31"/>
      <c r="S52" s="31"/>
      <c r="T52" s="31"/>
      <c r="U52" s="46"/>
      <c r="V52" s="31"/>
      <c r="W52" s="33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</row>
    <row r="53" spans="1:54" ht="17.25" x14ac:dyDescent="0.3">
      <c r="A53" s="37">
        <v>34</v>
      </c>
      <c r="B53" s="38" t="s">
        <v>117</v>
      </c>
      <c r="C53" s="39" t="s">
        <v>58</v>
      </c>
      <c r="D53" s="37" t="s">
        <v>162</v>
      </c>
      <c r="E53" s="37"/>
      <c r="F53" s="37" t="s">
        <v>242</v>
      </c>
      <c r="G53" s="50"/>
      <c r="H53" s="46"/>
      <c r="I53" s="37">
        <v>34</v>
      </c>
      <c r="J53" s="54" t="s">
        <v>142</v>
      </c>
      <c r="K53" s="39" t="s">
        <v>60</v>
      </c>
      <c r="L53" s="37" t="s">
        <v>162</v>
      </c>
      <c r="M53" s="37"/>
      <c r="N53" s="39" t="s">
        <v>172</v>
      </c>
      <c r="O53" s="56"/>
      <c r="P53" s="31"/>
      <c r="Q53" s="31"/>
      <c r="R53" s="31"/>
      <c r="S53" s="31"/>
      <c r="T53" s="31"/>
      <c r="U53" s="46"/>
      <c r="V53" s="31"/>
      <c r="W53" s="33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</row>
    <row r="54" spans="1:54" ht="17.25" x14ac:dyDescent="0.3">
      <c r="A54" s="37">
        <v>35</v>
      </c>
      <c r="B54" s="38" t="s">
        <v>118</v>
      </c>
      <c r="C54" s="39" t="s">
        <v>58</v>
      </c>
      <c r="D54" s="37" t="s">
        <v>162</v>
      </c>
      <c r="E54" s="37"/>
      <c r="F54" s="37" t="s">
        <v>243</v>
      </c>
      <c r="G54" s="24"/>
      <c r="H54" s="46"/>
      <c r="I54" s="37">
        <v>35</v>
      </c>
      <c r="J54" s="54" t="s">
        <v>143</v>
      </c>
      <c r="K54" s="39" t="s">
        <v>60</v>
      </c>
      <c r="L54" s="37" t="s">
        <v>162</v>
      </c>
      <c r="M54" s="37"/>
      <c r="N54" s="39" t="s">
        <v>173</v>
      </c>
      <c r="O54" s="56"/>
      <c r="P54" s="31"/>
      <c r="Q54" s="31"/>
      <c r="R54" s="31"/>
      <c r="S54" s="31"/>
      <c r="T54" s="31"/>
      <c r="U54" s="46"/>
      <c r="V54" s="31"/>
      <c r="W54" s="33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</row>
    <row r="55" spans="1:54" ht="17.25" x14ac:dyDescent="0.3">
      <c r="A55" s="37">
        <v>36</v>
      </c>
      <c r="B55" s="38" t="s">
        <v>119</v>
      </c>
      <c r="C55" s="39" t="s">
        <v>58</v>
      </c>
      <c r="D55" s="37" t="s">
        <v>162</v>
      </c>
      <c r="E55" s="37"/>
      <c r="F55" s="37" t="s">
        <v>244</v>
      </c>
      <c r="G55" s="55"/>
      <c r="H55" s="46"/>
      <c r="I55" s="37">
        <v>36</v>
      </c>
      <c r="J55" s="54" t="s">
        <v>144</v>
      </c>
      <c r="K55" s="39" t="s">
        <v>60</v>
      </c>
      <c r="L55" s="37" t="s">
        <v>162</v>
      </c>
      <c r="M55" s="37"/>
      <c r="N55" s="39" t="s">
        <v>174</v>
      </c>
      <c r="O55" s="56"/>
      <c r="P55" s="31"/>
      <c r="Q55" s="31"/>
      <c r="R55" s="31"/>
      <c r="S55" s="31"/>
      <c r="T55" s="31"/>
      <c r="U55" s="46"/>
      <c r="V55" s="31"/>
      <c r="W55" s="33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</row>
    <row r="56" spans="1:54" ht="17.25" x14ac:dyDescent="0.3">
      <c r="A56" s="37">
        <v>37</v>
      </c>
      <c r="B56" s="38" t="s">
        <v>120</v>
      </c>
      <c r="C56" s="39" t="s">
        <v>58</v>
      </c>
      <c r="D56" s="37" t="s">
        <v>162</v>
      </c>
      <c r="E56" s="37"/>
      <c r="F56" s="37" t="s">
        <v>245</v>
      </c>
      <c r="G56" s="55"/>
      <c r="H56" s="46"/>
      <c r="I56" s="37">
        <v>37</v>
      </c>
      <c r="J56" s="54" t="s">
        <v>145</v>
      </c>
      <c r="K56" s="39" t="s">
        <v>60</v>
      </c>
      <c r="L56" s="37" t="s">
        <v>162</v>
      </c>
      <c r="M56" s="37"/>
      <c r="N56" s="39" t="s">
        <v>175</v>
      </c>
      <c r="O56" s="56"/>
      <c r="P56" s="31"/>
      <c r="Q56" s="31"/>
      <c r="R56" s="31"/>
      <c r="S56" s="31"/>
      <c r="T56" s="31"/>
      <c r="U56" s="46"/>
      <c r="V56" s="31"/>
      <c r="W56" s="33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</row>
    <row r="57" spans="1:54" ht="17.25" x14ac:dyDescent="0.3">
      <c r="A57" s="37">
        <v>38</v>
      </c>
      <c r="B57" s="38" t="s">
        <v>121</v>
      </c>
      <c r="C57" s="39" t="s">
        <v>58</v>
      </c>
      <c r="D57" s="37" t="s">
        <v>162</v>
      </c>
      <c r="E57" s="37"/>
      <c r="F57" s="37" t="s">
        <v>246</v>
      </c>
      <c r="G57" s="50"/>
      <c r="H57" s="46"/>
      <c r="I57" s="37">
        <v>38</v>
      </c>
      <c r="J57" s="54" t="s">
        <v>146</v>
      </c>
      <c r="K57" s="39" t="s">
        <v>60</v>
      </c>
      <c r="L57" s="37" t="s">
        <v>162</v>
      </c>
      <c r="M57" s="37"/>
      <c r="N57" s="39" t="s">
        <v>176</v>
      </c>
      <c r="O57" s="56"/>
      <c r="P57" s="31"/>
      <c r="Q57" s="31"/>
      <c r="R57" s="31"/>
      <c r="S57" s="31"/>
      <c r="T57" s="31"/>
      <c r="U57" s="46"/>
      <c r="V57" s="31"/>
      <c r="W57" s="33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</row>
    <row r="58" spans="1:54" ht="17.25" x14ac:dyDescent="0.3">
      <c r="A58" s="37">
        <v>39</v>
      </c>
      <c r="B58" s="38" t="s">
        <v>122</v>
      </c>
      <c r="C58" s="39" t="s">
        <v>58</v>
      </c>
      <c r="D58" s="37" t="s">
        <v>162</v>
      </c>
      <c r="E58" s="37"/>
      <c r="F58" s="37" t="s">
        <v>247</v>
      </c>
      <c r="G58" s="25"/>
      <c r="H58" s="46"/>
      <c r="I58" s="37">
        <v>39</v>
      </c>
      <c r="J58" s="54" t="s">
        <v>147</v>
      </c>
      <c r="K58" s="39" t="s">
        <v>60</v>
      </c>
      <c r="L58" s="37" t="s">
        <v>162</v>
      </c>
      <c r="M58" s="37"/>
      <c r="N58" s="39" t="s">
        <v>177</v>
      </c>
      <c r="O58" s="56"/>
      <c r="P58" s="31"/>
      <c r="Q58" s="31"/>
      <c r="R58" s="31"/>
      <c r="S58" s="31"/>
      <c r="T58" s="31"/>
      <c r="U58" s="46"/>
      <c r="V58" s="31"/>
      <c r="W58" s="33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</row>
    <row r="59" spans="1:54" ht="17.25" x14ac:dyDescent="0.3">
      <c r="A59" s="37">
        <v>40</v>
      </c>
      <c r="B59" s="38" t="s">
        <v>123</v>
      </c>
      <c r="C59" s="39" t="s">
        <v>58</v>
      </c>
      <c r="D59" s="37" t="s">
        <v>162</v>
      </c>
      <c r="E59" s="37"/>
      <c r="F59" s="37" t="s">
        <v>248</v>
      </c>
      <c r="G59" s="50"/>
      <c r="H59" s="46"/>
      <c r="I59" s="37">
        <v>40</v>
      </c>
      <c r="J59" s="54" t="s">
        <v>148</v>
      </c>
      <c r="K59" s="39" t="s">
        <v>60</v>
      </c>
      <c r="L59" s="37" t="s">
        <v>162</v>
      </c>
      <c r="M59" s="37"/>
      <c r="N59" s="39" t="s">
        <v>178</v>
      </c>
      <c r="O59" s="56"/>
      <c r="P59" s="31"/>
      <c r="Q59" s="31"/>
      <c r="R59" s="31"/>
      <c r="S59" s="31"/>
      <c r="T59" s="31"/>
      <c r="U59" s="46"/>
      <c r="V59" s="31"/>
      <c r="W59" s="33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</row>
    <row r="60" spans="1:54" ht="17.25" x14ac:dyDescent="0.3">
      <c r="A60" s="37">
        <v>41</v>
      </c>
      <c r="B60" s="38" t="s">
        <v>124</v>
      </c>
      <c r="C60" s="39" t="s">
        <v>58</v>
      </c>
      <c r="D60" s="37" t="s">
        <v>162</v>
      </c>
      <c r="E60" s="37"/>
      <c r="F60" s="37" t="s">
        <v>249</v>
      </c>
      <c r="G60" s="50"/>
      <c r="H60" s="46"/>
      <c r="I60" s="37">
        <v>41</v>
      </c>
      <c r="J60" s="54" t="s">
        <v>149</v>
      </c>
      <c r="K60" s="39" t="s">
        <v>60</v>
      </c>
      <c r="L60" s="37" t="s">
        <v>162</v>
      </c>
      <c r="M60" s="37"/>
      <c r="N60" s="39" t="s">
        <v>179</v>
      </c>
      <c r="O60" s="56"/>
      <c r="P60" s="31"/>
      <c r="Q60" s="31"/>
      <c r="R60" s="31"/>
      <c r="S60" s="31"/>
      <c r="T60" s="31"/>
      <c r="U60" s="46"/>
      <c r="V60" s="31"/>
      <c r="W60" s="33"/>
      <c r="X60" s="32"/>
      <c r="Y60" s="32"/>
      <c r="Z60" s="32"/>
      <c r="AA60" s="32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32"/>
      <c r="AQ60" s="32"/>
      <c r="AR60" s="32"/>
      <c r="AS60" s="32"/>
      <c r="AT60" s="32"/>
      <c r="AU60" s="32"/>
      <c r="AV60" s="32"/>
      <c r="AW60" s="32"/>
      <c r="AX60" s="32"/>
      <c r="AY60" s="32"/>
      <c r="AZ60" s="32"/>
      <c r="BA60" s="32"/>
      <c r="BB60" s="32"/>
    </row>
    <row r="61" spans="1:54" ht="17.25" x14ac:dyDescent="0.3">
      <c r="A61" s="37">
        <v>42</v>
      </c>
      <c r="B61" s="38" t="s">
        <v>125</v>
      </c>
      <c r="C61" s="39" t="s">
        <v>58</v>
      </c>
      <c r="D61" s="37" t="s">
        <v>162</v>
      </c>
      <c r="E61" s="37"/>
      <c r="F61" s="37" t="s">
        <v>250</v>
      </c>
      <c r="G61" s="25"/>
      <c r="H61" s="46"/>
      <c r="I61" s="37">
        <v>42</v>
      </c>
      <c r="J61" s="54" t="s">
        <v>150</v>
      </c>
      <c r="K61" s="39" t="s">
        <v>60</v>
      </c>
      <c r="L61" s="37" t="s">
        <v>162</v>
      </c>
      <c r="M61" s="37"/>
      <c r="N61" s="39" t="s">
        <v>180</v>
      </c>
      <c r="O61" s="56"/>
      <c r="P61" s="31"/>
      <c r="Q61" s="31"/>
      <c r="R61" s="31"/>
      <c r="S61" s="31"/>
      <c r="T61" s="31"/>
      <c r="U61" s="46"/>
      <c r="V61" s="31"/>
      <c r="W61" s="33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</row>
    <row r="62" spans="1:54" ht="17.25" x14ac:dyDescent="0.3">
      <c r="A62" s="37">
        <v>43</v>
      </c>
      <c r="B62" s="38" t="s">
        <v>126</v>
      </c>
      <c r="C62" s="39" t="s">
        <v>58</v>
      </c>
      <c r="D62" s="37" t="s">
        <v>162</v>
      </c>
      <c r="E62" s="37"/>
      <c r="F62" s="37" t="s">
        <v>251</v>
      </c>
      <c r="G62" s="25"/>
      <c r="H62" s="46"/>
      <c r="I62" s="37">
        <v>43</v>
      </c>
      <c r="J62" s="54" t="s">
        <v>157</v>
      </c>
      <c r="K62" s="39" t="s">
        <v>60</v>
      </c>
      <c r="L62" s="37" t="s">
        <v>162</v>
      </c>
      <c r="M62" s="37"/>
      <c r="N62" s="39" t="s">
        <v>181</v>
      </c>
      <c r="O62" s="56"/>
      <c r="P62" s="31"/>
      <c r="Q62" s="31"/>
      <c r="R62" s="31"/>
      <c r="S62" s="31"/>
      <c r="T62" s="31"/>
      <c r="U62" s="46"/>
      <c r="V62" s="31"/>
      <c r="W62" s="33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</row>
    <row r="63" spans="1:54" ht="17.25" x14ac:dyDescent="0.3">
      <c r="A63" s="37">
        <v>44</v>
      </c>
      <c r="B63" s="38" t="s">
        <v>127</v>
      </c>
      <c r="C63" s="39" t="s">
        <v>58</v>
      </c>
      <c r="D63" s="37" t="s">
        <v>162</v>
      </c>
      <c r="E63" s="37"/>
      <c r="F63" s="37" t="s">
        <v>252</v>
      </c>
      <c r="G63" s="50"/>
      <c r="H63" s="46"/>
      <c r="I63" s="37">
        <v>44</v>
      </c>
      <c r="J63" s="54" t="s">
        <v>151</v>
      </c>
      <c r="K63" s="39" t="s">
        <v>60</v>
      </c>
      <c r="L63" s="37" t="s">
        <v>162</v>
      </c>
      <c r="M63" s="37"/>
      <c r="N63" s="39" t="s">
        <v>182</v>
      </c>
      <c r="O63" s="56"/>
      <c r="P63" s="31"/>
      <c r="Q63" s="31"/>
      <c r="R63" s="31"/>
      <c r="S63" s="31"/>
      <c r="T63" s="31"/>
      <c r="U63" s="46"/>
      <c r="V63" s="31"/>
      <c r="W63" s="33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</row>
    <row r="64" spans="1:54" ht="17.25" x14ac:dyDescent="0.3">
      <c r="A64" s="37">
        <v>45</v>
      </c>
      <c r="B64" s="38" t="s">
        <v>128</v>
      </c>
      <c r="C64" s="39" t="s">
        <v>58</v>
      </c>
      <c r="D64" s="37" t="s">
        <v>162</v>
      </c>
      <c r="E64" s="37"/>
      <c r="F64" s="37" t="s">
        <v>253</v>
      </c>
      <c r="G64" s="24"/>
      <c r="H64" s="46"/>
      <c r="I64" s="37">
        <v>45</v>
      </c>
      <c r="J64" s="54" t="s">
        <v>152</v>
      </c>
      <c r="K64" s="39" t="s">
        <v>60</v>
      </c>
      <c r="L64" s="37" t="s">
        <v>162</v>
      </c>
      <c r="M64" s="37"/>
      <c r="N64" s="39" t="s">
        <v>183</v>
      </c>
      <c r="O64" s="56"/>
      <c r="P64" s="31"/>
      <c r="Q64" s="31"/>
      <c r="R64" s="31"/>
      <c r="S64" s="31"/>
      <c r="T64" s="31"/>
      <c r="U64" s="46"/>
      <c r="V64" s="31"/>
      <c r="W64" s="33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</row>
    <row r="65" spans="1:54" ht="17.25" x14ac:dyDescent="0.3">
      <c r="A65" s="37">
        <v>46</v>
      </c>
      <c r="B65" s="38" t="s">
        <v>129</v>
      </c>
      <c r="C65" s="39" t="s">
        <v>58</v>
      </c>
      <c r="D65" s="37" t="s">
        <v>162</v>
      </c>
      <c r="E65" s="37"/>
      <c r="F65" s="37" t="s">
        <v>254</v>
      </c>
      <c r="G65" s="25"/>
      <c r="H65" s="46"/>
      <c r="I65" s="37">
        <v>46</v>
      </c>
      <c r="J65" s="54" t="s">
        <v>153</v>
      </c>
      <c r="K65" s="39" t="s">
        <v>60</v>
      </c>
      <c r="L65" s="37" t="s">
        <v>162</v>
      </c>
      <c r="M65" s="37"/>
      <c r="N65" s="39" t="s">
        <v>184</v>
      </c>
      <c r="O65" s="56"/>
      <c r="P65" s="31"/>
      <c r="Q65" s="31"/>
      <c r="R65" s="31"/>
      <c r="S65" s="31"/>
      <c r="T65" s="31"/>
      <c r="U65" s="46"/>
      <c r="V65" s="31"/>
      <c r="W65" s="33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</row>
    <row r="66" spans="1:54" ht="17.25" x14ac:dyDescent="0.3">
      <c r="A66" s="37">
        <v>47</v>
      </c>
      <c r="B66" s="38" t="s">
        <v>130</v>
      </c>
      <c r="C66" s="39" t="s">
        <v>58</v>
      </c>
      <c r="D66" s="37" t="s">
        <v>162</v>
      </c>
      <c r="E66" s="37"/>
      <c r="F66" s="37" t="s">
        <v>255</v>
      </c>
      <c r="G66" s="50"/>
      <c r="H66" s="46"/>
      <c r="I66" s="37">
        <v>47</v>
      </c>
      <c r="J66" s="54" t="s">
        <v>154</v>
      </c>
      <c r="K66" s="39" t="s">
        <v>60</v>
      </c>
      <c r="L66" s="37" t="s">
        <v>162</v>
      </c>
      <c r="M66" s="37"/>
      <c r="N66" s="39" t="s">
        <v>185</v>
      </c>
      <c r="O66" s="56"/>
      <c r="P66" s="31"/>
      <c r="Q66" s="31"/>
      <c r="R66" s="31"/>
      <c r="S66" s="31"/>
      <c r="T66" s="31"/>
      <c r="U66" s="46"/>
      <c r="V66" s="31"/>
      <c r="W66" s="33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</row>
    <row r="67" spans="1:54" ht="17.25" x14ac:dyDescent="0.3">
      <c r="A67" s="37">
        <v>48</v>
      </c>
      <c r="B67" s="38" t="s">
        <v>131</v>
      </c>
      <c r="C67" s="39" t="s">
        <v>58</v>
      </c>
      <c r="D67" s="37" t="s">
        <v>162</v>
      </c>
      <c r="E67" s="37"/>
      <c r="F67" s="37" t="s">
        <v>256</v>
      </c>
      <c r="G67" s="55"/>
      <c r="H67" s="46"/>
      <c r="I67" s="37">
        <v>48</v>
      </c>
      <c r="J67" s="54" t="s">
        <v>155</v>
      </c>
      <c r="K67" s="39" t="s">
        <v>60</v>
      </c>
      <c r="L67" s="37" t="s">
        <v>162</v>
      </c>
      <c r="M67" s="37"/>
      <c r="N67" s="39" t="s">
        <v>186</v>
      </c>
      <c r="O67" s="56"/>
      <c r="P67" s="31"/>
      <c r="Q67" s="31"/>
      <c r="R67" s="31"/>
      <c r="S67" s="31"/>
      <c r="T67" s="31"/>
      <c r="U67" s="46"/>
      <c r="V67" s="31"/>
      <c r="W67" s="33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</row>
    <row r="68" spans="1:54" ht="18" thickBot="1" x14ac:dyDescent="0.35">
      <c r="A68" s="37">
        <v>49</v>
      </c>
      <c r="B68" s="38" t="s">
        <v>132</v>
      </c>
      <c r="C68" s="39" t="s">
        <v>58</v>
      </c>
      <c r="D68" s="37" t="s">
        <v>162</v>
      </c>
      <c r="E68" s="37"/>
      <c r="F68" s="37" t="s">
        <v>257</v>
      </c>
      <c r="G68" s="55"/>
      <c r="H68" s="49"/>
      <c r="I68" s="37">
        <v>49</v>
      </c>
      <c r="J68" s="54" t="s">
        <v>156</v>
      </c>
      <c r="K68" s="39" t="s">
        <v>60</v>
      </c>
      <c r="L68" s="37" t="s">
        <v>162</v>
      </c>
      <c r="M68" s="37"/>
      <c r="N68" s="39" t="s">
        <v>187</v>
      </c>
      <c r="O68" s="56"/>
      <c r="P68" s="34"/>
      <c r="Q68" s="34"/>
      <c r="R68" s="34"/>
      <c r="S68" s="34"/>
      <c r="T68" s="34"/>
      <c r="U68" s="49"/>
      <c r="V68" s="34"/>
      <c r="W68" s="35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</row>
    <row r="69" spans="1:54" x14ac:dyDescent="0.25">
      <c r="A69" s="5"/>
      <c r="B69" s="5"/>
      <c r="C69" s="32"/>
      <c r="D69" s="32"/>
      <c r="E69" s="47"/>
      <c r="F69" s="32"/>
      <c r="G69" s="46"/>
      <c r="H69" s="31"/>
      <c r="I69" s="32"/>
      <c r="J69" s="32"/>
      <c r="K69" s="32"/>
      <c r="L69" s="32"/>
      <c r="M69" s="47"/>
      <c r="N69" s="47"/>
      <c r="O69" s="32"/>
      <c r="P69" s="32"/>
      <c r="Q69" s="32"/>
      <c r="R69" s="32"/>
      <c r="S69" s="32"/>
      <c r="T69" s="32"/>
      <c r="U69" s="47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</row>
    <row r="70" spans="1:54" x14ac:dyDescent="0.25">
      <c r="A70" s="5"/>
      <c r="B70" s="5"/>
      <c r="C70" s="32"/>
      <c r="D70" s="32"/>
      <c r="E70" s="47"/>
      <c r="F70" s="32"/>
      <c r="G70" s="46"/>
      <c r="H70" s="31"/>
      <c r="I70" s="32"/>
      <c r="J70" s="32"/>
      <c r="K70" s="32"/>
      <c r="L70" s="32"/>
      <c r="M70" s="47"/>
      <c r="N70" s="47"/>
      <c r="O70" s="32"/>
      <c r="P70" s="32"/>
      <c r="Q70" s="32"/>
      <c r="R70" s="32"/>
      <c r="S70" s="32"/>
      <c r="T70" s="32"/>
      <c r="U70" s="47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</row>
    <row r="71" spans="1:54" x14ac:dyDescent="0.25">
      <c r="A71" s="5"/>
      <c r="B71" s="5"/>
      <c r="C71" s="32"/>
      <c r="D71" s="32"/>
      <c r="E71" s="47"/>
      <c r="F71" s="32"/>
      <c r="G71" s="46"/>
      <c r="H71" s="31"/>
      <c r="I71" s="32"/>
      <c r="J71" s="32"/>
      <c r="K71" s="32"/>
      <c r="L71" s="32"/>
      <c r="M71" s="47"/>
      <c r="N71" s="47"/>
      <c r="O71" s="32"/>
      <c r="P71" s="32"/>
      <c r="Q71" s="32"/>
      <c r="R71" s="32"/>
      <c r="S71" s="32"/>
      <c r="T71" s="32"/>
      <c r="U71" s="47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</row>
    <row r="72" spans="1:54" x14ac:dyDescent="0.25">
      <c r="A72" s="5"/>
      <c r="B72" s="5"/>
      <c r="C72" s="32"/>
      <c r="D72" s="32"/>
      <c r="E72" s="47"/>
      <c r="F72" s="32"/>
      <c r="G72" s="46"/>
      <c r="H72" s="31"/>
      <c r="I72" s="32"/>
      <c r="J72" s="32"/>
      <c r="K72" s="32"/>
      <c r="L72" s="32"/>
      <c r="M72" s="47"/>
      <c r="N72" s="47"/>
      <c r="O72" s="32"/>
      <c r="P72" s="32"/>
      <c r="Q72" s="32"/>
      <c r="R72" s="32"/>
      <c r="S72" s="32"/>
      <c r="T72" s="32"/>
      <c r="U72" s="47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</row>
    <row r="73" spans="1:54" x14ac:dyDescent="0.25">
      <c r="A73" s="5"/>
      <c r="B73" s="5"/>
      <c r="C73" s="32"/>
      <c r="D73" s="32"/>
      <c r="E73" s="47"/>
      <c r="F73" s="32"/>
      <c r="G73" s="46"/>
      <c r="H73" s="31"/>
      <c r="I73" s="32"/>
      <c r="J73" s="32"/>
      <c r="K73" s="32"/>
      <c r="L73" s="32"/>
      <c r="M73" s="47"/>
      <c r="N73" s="47"/>
      <c r="O73" s="32"/>
      <c r="P73" s="32"/>
      <c r="Q73" s="32"/>
      <c r="R73" s="32"/>
      <c r="S73" s="32"/>
      <c r="T73" s="32"/>
      <c r="U73" s="47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</row>
    <row r="74" spans="1:54" x14ac:dyDescent="0.25">
      <c r="A74" s="5"/>
      <c r="B74" s="5"/>
      <c r="C74" s="32"/>
      <c r="D74" s="32"/>
      <c r="E74" s="47"/>
      <c r="F74" s="32"/>
      <c r="G74" s="46"/>
      <c r="H74" s="31"/>
      <c r="I74" s="32"/>
      <c r="J74" s="32"/>
      <c r="K74" s="32"/>
      <c r="L74" s="32"/>
      <c r="M74" s="47"/>
      <c r="N74" s="47"/>
      <c r="O74" s="32"/>
      <c r="P74" s="32"/>
      <c r="Q74" s="32"/>
      <c r="R74" s="32"/>
      <c r="S74" s="32"/>
      <c r="T74" s="32"/>
      <c r="U74" s="47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</row>
    <row r="75" spans="1:54" x14ac:dyDescent="0.25">
      <c r="A75" s="5"/>
      <c r="B75" s="5"/>
      <c r="C75" s="32"/>
      <c r="D75" s="32"/>
      <c r="E75" s="47"/>
      <c r="F75" s="32"/>
      <c r="G75" s="46"/>
      <c r="H75" s="31"/>
      <c r="I75" s="32"/>
      <c r="J75" s="32"/>
      <c r="K75" s="32"/>
      <c r="L75" s="32"/>
      <c r="M75" s="47"/>
      <c r="N75" s="47"/>
      <c r="O75" s="32"/>
      <c r="P75" s="32"/>
      <c r="Q75" s="32"/>
      <c r="R75" s="32"/>
      <c r="S75" s="32"/>
      <c r="T75" s="32"/>
      <c r="U75" s="47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</row>
    <row r="76" spans="1:54" x14ac:dyDescent="0.25">
      <c r="A76" s="5"/>
      <c r="B76" s="5"/>
      <c r="C76" s="32"/>
      <c r="D76" s="32"/>
      <c r="E76" s="47"/>
      <c r="F76" s="32"/>
      <c r="G76" s="46"/>
      <c r="H76" s="31"/>
      <c r="I76" s="32"/>
      <c r="J76" s="32"/>
      <c r="K76" s="32"/>
      <c r="L76" s="32"/>
      <c r="M76" s="47"/>
      <c r="N76" s="47"/>
      <c r="O76" s="32"/>
      <c r="P76" s="32"/>
      <c r="Q76" s="32"/>
      <c r="R76" s="32"/>
      <c r="S76" s="32"/>
      <c r="T76" s="32"/>
      <c r="U76" s="47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</row>
    <row r="77" spans="1:54" x14ac:dyDescent="0.25">
      <c r="A77" s="5"/>
      <c r="B77" s="5"/>
      <c r="C77" s="32"/>
      <c r="D77" s="32"/>
      <c r="E77" s="47"/>
      <c r="F77" s="32"/>
      <c r="G77" s="32"/>
      <c r="H77" s="31"/>
      <c r="I77" s="32"/>
      <c r="J77" s="32"/>
      <c r="K77" s="32"/>
      <c r="L77" s="32"/>
      <c r="M77" s="47"/>
      <c r="N77" s="47"/>
      <c r="O77" s="32"/>
      <c r="P77" s="32"/>
      <c r="Q77" s="32"/>
      <c r="R77" s="32"/>
      <c r="S77" s="32"/>
      <c r="T77" s="32"/>
      <c r="U77" s="47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</row>
    <row r="78" spans="1:54" x14ac:dyDescent="0.25">
      <c r="A78" s="5"/>
      <c r="B78" s="5"/>
      <c r="C78" s="32"/>
      <c r="D78" s="32"/>
      <c r="E78" s="47"/>
      <c r="F78" s="32"/>
      <c r="G78" s="32"/>
      <c r="H78" s="31"/>
      <c r="I78" s="32"/>
      <c r="J78" s="32"/>
      <c r="K78" s="32"/>
      <c r="L78" s="32"/>
      <c r="M78" s="47"/>
      <c r="N78" s="47"/>
      <c r="O78" s="32"/>
      <c r="P78" s="32"/>
      <c r="Q78" s="32"/>
      <c r="R78" s="32"/>
      <c r="S78" s="32"/>
      <c r="T78" s="32"/>
      <c r="U78" s="47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</row>
    <row r="79" spans="1:54" x14ac:dyDescent="0.25">
      <c r="A79" s="5"/>
      <c r="B79" s="5"/>
      <c r="C79" s="32"/>
      <c r="D79" s="32"/>
      <c r="E79" s="47"/>
      <c r="F79" s="32"/>
      <c r="G79" s="32"/>
      <c r="H79" s="31"/>
      <c r="I79" s="32"/>
      <c r="J79" s="32"/>
      <c r="K79" s="32"/>
      <c r="L79" s="32"/>
      <c r="M79" s="47"/>
      <c r="N79" s="47"/>
      <c r="O79" s="32"/>
      <c r="P79" s="32"/>
      <c r="Q79" s="32"/>
      <c r="R79" s="32"/>
      <c r="S79" s="32"/>
      <c r="T79" s="32"/>
      <c r="U79" s="47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</row>
    <row r="80" spans="1:54" x14ac:dyDescent="0.25">
      <c r="A80" s="5"/>
      <c r="B80" s="5"/>
      <c r="C80" s="32"/>
      <c r="D80" s="32"/>
      <c r="E80" s="47"/>
      <c r="F80" s="32"/>
      <c r="G80" s="32"/>
      <c r="H80" s="31"/>
      <c r="I80" s="32"/>
      <c r="J80" s="32"/>
      <c r="K80" s="32"/>
      <c r="L80" s="32"/>
      <c r="M80" s="47"/>
      <c r="N80" s="47"/>
      <c r="O80" s="32"/>
      <c r="P80" s="32"/>
      <c r="Q80" s="32"/>
      <c r="R80" s="32"/>
      <c r="S80" s="32"/>
      <c r="T80" s="32"/>
      <c r="U80" s="47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</row>
    <row r="81" spans="1:54" x14ac:dyDescent="0.25">
      <c r="A81" s="5"/>
      <c r="B81" s="5"/>
      <c r="C81" s="32"/>
      <c r="D81" s="32"/>
      <c r="E81" s="47"/>
      <c r="F81" s="32"/>
      <c r="G81" s="32"/>
      <c r="H81" s="31"/>
      <c r="I81" s="32"/>
      <c r="J81" s="32"/>
      <c r="K81" s="32"/>
      <c r="L81" s="32"/>
      <c r="M81" s="47"/>
      <c r="N81" s="47"/>
      <c r="O81" s="32"/>
      <c r="P81" s="32"/>
      <c r="Q81" s="32"/>
      <c r="R81" s="32"/>
      <c r="S81" s="32"/>
      <c r="T81" s="32"/>
      <c r="U81" s="47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</row>
    <row r="82" spans="1:54" x14ac:dyDescent="0.25">
      <c r="N82" s="43"/>
    </row>
    <row r="83" spans="1:54" x14ac:dyDescent="0.25">
      <c r="N83" s="43"/>
    </row>
    <row r="84" spans="1:54" x14ac:dyDescent="0.25">
      <c r="N84" s="43"/>
    </row>
    <row r="85" spans="1:54" x14ac:dyDescent="0.25">
      <c r="N85" s="43"/>
    </row>
    <row r="86" spans="1:54" x14ac:dyDescent="0.25">
      <c r="N86" s="43"/>
    </row>
    <row r="87" spans="1:54" x14ac:dyDescent="0.25">
      <c r="N87" s="43"/>
    </row>
    <row r="88" spans="1:54" x14ac:dyDescent="0.25">
      <c r="N88" s="43"/>
    </row>
    <row r="89" spans="1:54" x14ac:dyDescent="0.25">
      <c r="N89" s="43"/>
    </row>
    <row r="90" spans="1:54" x14ac:dyDescent="0.25">
      <c r="N90" s="43"/>
    </row>
    <row r="91" spans="1:54" x14ac:dyDescent="0.25">
      <c r="N91" s="43"/>
    </row>
    <row r="92" spans="1:54" x14ac:dyDescent="0.25">
      <c r="N92" s="43"/>
    </row>
    <row r="93" spans="1:54" x14ac:dyDescent="0.25">
      <c r="N93" s="43"/>
    </row>
    <row r="94" spans="1:54" x14ac:dyDescent="0.25">
      <c r="N94" s="43"/>
    </row>
  </sheetData>
  <mergeCells count="7">
    <mergeCell ref="A1:W5"/>
    <mergeCell ref="A17:G17"/>
    <mergeCell ref="I17:O17"/>
    <mergeCell ref="Q17:W17"/>
    <mergeCell ref="A12:G12"/>
    <mergeCell ref="I12:O12"/>
    <mergeCell ref="Q12:W12"/>
  </mergeCells>
  <conditionalFormatting sqref="R19:R37">
    <cfRule type="duplicateValues" dxfId="77" priority="128"/>
  </conditionalFormatting>
  <conditionalFormatting sqref="R19:R38">
    <cfRule type="duplicateValues" dxfId="76" priority="129"/>
  </conditionalFormatting>
  <conditionalFormatting sqref="R19:R38">
    <cfRule type="duplicateValues" dxfId="75" priority="130"/>
  </conditionalFormatting>
  <conditionalFormatting sqref="R19:R38">
    <cfRule type="duplicateValues" dxfId="74" priority="127"/>
  </conditionalFormatting>
  <conditionalFormatting sqref="J64:J68 J59:J62">
    <cfRule type="containsText" dxfId="73" priority="124" operator="containsText" text="Failed">
      <formula>NOT(ISERROR(SEARCH("Failed",J59)))</formula>
    </cfRule>
    <cfRule type="containsText" dxfId="72" priority="125" operator="containsText" text="Passed">
      <formula>NOT(ISERROR(SEARCH("Passed",J59)))</formula>
    </cfRule>
  </conditionalFormatting>
  <conditionalFormatting sqref="J64:J68 J59:J62">
    <cfRule type="containsText" dxfId="71" priority="123" operator="containsText" text="PASS">
      <formula>NOT(ISERROR(SEARCH("PASS",J59)))</formula>
    </cfRule>
  </conditionalFormatting>
  <conditionalFormatting sqref="J64:J68 J59:J62">
    <cfRule type="containsText" dxfId="70" priority="121" operator="containsText" text="fail">
      <formula>NOT(ISERROR(SEARCH("fail",J59)))</formula>
    </cfRule>
    <cfRule type="containsText" dxfId="69" priority="122" operator="containsText" text="pass">
      <formula>NOT(ISERROR(SEARCH("pass",J59)))</formula>
    </cfRule>
  </conditionalFormatting>
  <conditionalFormatting sqref="J64:J68 J59:J62">
    <cfRule type="duplicateValues" dxfId="68" priority="126"/>
  </conditionalFormatting>
  <conditionalFormatting sqref="J63">
    <cfRule type="containsText" dxfId="67" priority="118" operator="containsText" text="Failed">
      <formula>NOT(ISERROR(SEARCH("Failed",J63)))</formula>
    </cfRule>
    <cfRule type="containsText" dxfId="66" priority="119" operator="containsText" text="Passed">
      <formula>NOT(ISERROR(SEARCH("Passed",J63)))</formula>
    </cfRule>
  </conditionalFormatting>
  <conditionalFormatting sqref="J63">
    <cfRule type="containsText" dxfId="65" priority="117" operator="containsText" text="PASS">
      <formula>NOT(ISERROR(SEARCH("PASS",J63)))</formula>
    </cfRule>
  </conditionalFormatting>
  <conditionalFormatting sqref="J63">
    <cfRule type="containsText" dxfId="64" priority="115" operator="containsText" text="fail">
      <formula>NOT(ISERROR(SEARCH("fail",J63)))</formula>
    </cfRule>
    <cfRule type="containsText" dxfId="63" priority="116" operator="containsText" text="pass">
      <formula>NOT(ISERROR(SEARCH("pass",J63)))</formula>
    </cfRule>
  </conditionalFormatting>
  <conditionalFormatting sqref="J63">
    <cfRule type="duplicateValues" dxfId="62" priority="120"/>
  </conditionalFormatting>
  <conditionalFormatting sqref="J59:J68">
    <cfRule type="duplicateValues" dxfId="61" priority="114"/>
  </conditionalFormatting>
  <conditionalFormatting sqref="J55:J58">
    <cfRule type="containsText" dxfId="60" priority="111" operator="containsText" text="Failed">
      <formula>NOT(ISERROR(SEARCH("Failed",J55)))</formula>
    </cfRule>
    <cfRule type="containsText" dxfId="59" priority="112" operator="containsText" text="Passed">
      <formula>NOT(ISERROR(SEARCH("Passed",J55)))</formula>
    </cfRule>
  </conditionalFormatting>
  <conditionalFormatting sqref="J55:J58">
    <cfRule type="containsText" dxfId="58" priority="110" operator="containsText" text="PASS">
      <formula>NOT(ISERROR(SEARCH("PASS",J55)))</formula>
    </cfRule>
  </conditionalFormatting>
  <conditionalFormatting sqref="J55:J58">
    <cfRule type="containsText" dxfId="57" priority="108" operator="containsText" text="fail">
      <formula>NOT(ISERROR(SEARCH("fail",J55)))</formula>
    </cfRule>
    <cfRule type="containsText" dxfId="56" priority="109" operator="containsText" text="pass">
      <formula>NOT(ISERROR(SEARCH("pass",J55)))</formula>
    </cfRule>
  </conditionalFormatting>
  <conditionalFormatting sqref="J45:J53">
    <cfRule type="containsText" dxfId="55" priority="106" operator="containsText" text="Failed">
      <formula>NOT(ISERROR(SEARCH("Failed",J45)))</formula>
    </cfRule>
    <cfRule type="containsText" dxfId="54" priority="107" operator="containsText" text="Passed">
      <formula>NOT(ISERROR(SEARCH("Passed",J45)))</formula>
    </cfRule>
  </conditionalFormatting>
  <conditionalFormatting sqref="J45:J53">
    <cfRule type="containsText" dxfId="53" priority="105" operator="containsText" text="PASS">
      <formula>NOT(ISERROR(SEARCH("PASS",J45)))</formula>
    </cfRule>
  </conditionalFormatting>
  <conditionalFormatting sqref="J45:J53">
    <cfRule type="containsText" dxfId="52" priority="103" operator="containsText" text="fail">
      <formula>NOT(ISERROR(SEARCH("fail",J45)))</formula>
    </cfRule>
    <cfRule type="containsText" dxfId="51" priority="104" operator="containsText" text="pass">
      <formula>NOT(ISERROR(SEARCH("pass",J45)))</formula>
    </cfRule>
  </conditionalFormatting>
  <conditionalFormatting sqref="J45:J58">
    <cfRule type="duplicateValues" dxfId="50" priority="113"/>
  </conditionalFormatting>
  <conditionalFormatting sqref="J45:J58">
    <cfRule type="duplicateValues" dxfId="49" priority="102"/>
  </conditionalFormatting>
  <conditionalFormatting sqref="J42:J43">
    <cfRule type="containsText" dxfId="48" priority="99" operator="containsText" text="Failed">
      <formula>NOT(ISERROR(SEARCH("Failed",J42)))</formula>
    </cfRule>
    <cfRule type="containsText" dxfId="47" priority="100" operator="containsText" text="Passed">
      <formula>NOT(ISERROR(SEARCH("Passed",J42)))</formula>
    </cfRule>
  </conditionalFormatting>
  <conditionalFormatting sqref="J42:J43">
    <cfRule type="containsText" dxfId="46" priority="98" operator="containsText" text="PASS">
      <formula>NOT(ISERROR(SEARCH("PASS",J42)))</formula>
    </cfRule>
  </conditionalFormatting>
  <conditionalFormatting sqref="J42:J43">
    <cfRule type="containsText" dxfId="45" priority="96" operator="containsText" text="fail">
      <formula>NOT(ISERROR(SEARCH("fail",J42)))</formula>
    </cfRule>
    <cfRule type="containsText" dxfId="44" priority="97" operator="containsText" text="pass">
      <formula>NOT(ISERROR(SEARCH("pass",J42)))</formula>
    </cfRule>
  </conditionalFormatting>
  <conditionalFormatting sqref="J42:J43">
    <cfRule type="duplicateValues" dxfId="43" priority="101"/>
  </conditionalFormatting>
  <conditionalFormatting sqref="J42:J43">
    <cfRule type="duplicateValues" dxfId="42" priority="89"/>
  </conditionalFormatting>
  <conditionalFormatting sqref="J44">
    <cfRule type="containsText" dxfId="41" priority="74" operator="containsText" text="Failed">
      <formula>NOT(ISERROR(SEARCH("Failed",J44)))</formula>
    </cfRule>
    <cfRule type="containsText" dxfId="40" priority="75" operator="containsText" text="Passed">
      <formula>NOT(ISERROR(SEARCH("Passed",J44)))</formula>
    </cfRule>
  </conditionalFormatting>
  <conditionalFormatting sqref="J44">
    <cfRule type="containsText" dxfId="39" priority="73" operator="containsText" text="PASS">
      <formula>NOT(ISERROR(SEARCH("PASS",J44)))</formula>
    </cfRule>
  </conditionalFormatting>
  <conditionalFormatting sqref="J44">
    <cfRule type="containsText" dxfId="38" priority="71" operator="containsText" text="fail">
      <formula>NOT(ISERROR(SEARCH("fail",J44)))</formula>
    </cfRule>
    <cfRule type="containsText" dxfId="37" priority="72" operator="containsText" text="pass">
      <formula>NOT(ISERROR(SEARCH("pass",J44)))</formula>
    </cfRule>
  </conditionalFormatting>
  <conditionalFormatting sqref="J44">
    <cfRule type="duplicateValues" dxfId="36" priority="76"/>
  </conditionalFormatting>
  <conditionalFormatting sqref="J44">
    <cfRule type="duplicateValues" dxfId="35" priority="70"/>
  </conditionalFormatting>
  <conditionalFormatting sqref="B45">
    <cfRule type="containsText" dxfId="34" priority="68" operator="containsText" text="fail">
      <formula>NOT(ISERROR(SEARCH("fail",B45)))</formula>
    </cfRule>
    <cfRule type="containsText" dxfId="33" priority="69" operator="containsText" text="pass">
      <formula>NOT(ISERROR(SEARCH("pass",B45)))</formula>
    </cfRule>
  </conditionalFormatting>
  <conditionalFormatting sqref="B47:B55">
    <cfRule type="containsText" dxfId="32" priority="66" operator="containsText" text="fail">
      <formula>NOT(ISERROR(SEARCH("fail",B47)))</formula>
    </cfRule>
    <cfRule type="containsText" dxfId="31" priority="67" operator="containsText" text="pass">
      <formula>NOT(ISERROR(SEARCH("pass",B47)))</formula>
    </cfRule>
  </conditionalFormatting>
  <conditionalFormatting sqref="B56:B59">
    <cfRule type="containsText" dxfId="30" priority="64" operator="containsText" text="fail">
      <formula>NOT(ISERROR(SEARCH("fail",B56)))</formula>
    </cfRule>
    <cfRule type="containsText" dxfId="29" priority="65" operator="containsText" text="pass">
      <formula>NOT(ISERROR(SEARCH("pass",B56)))</formula>
    </cfRule>
  </conditionalFormatting>
  <conditionalFormatting sqref="B60:B68">
    <cfRule type="containsText" dxfId="28" priority="62" operator="containsText" text="fail">
      <formula>NOT(ISERROR(SEARCH("fail",B60)))</formula>
    </cfRule>
    <cfRule type="containsText" dxfId="27" priority="63" operator="containsText" text="pass">
      <formula>NOT(ISERROR(SEARCH("pass",B60)))</formula>
    </cfRule>
  </conditionalFormatting>
  <conditionalFormatting sqref="B19:B68">
    <cfRule type="duplicateValues" dxfId="26" priority="61"/>
  </conditionalFormatting>
  <conditionalFormatting sqref="N19:N68">
    <cfRule type="containsText" dxfId="25" priority="53" operator="containsText" text="PASS">
      <formula>NOT(ISERROR(SEARCH("PASS",N19)))</formula>
    </cfRule>
    <cfRule type="containsText" dxfId="24" priority="54" operator="containsText" text="FAIL">
      <formula>NOT(ISERROR(SEARCH("FAIL",N19)))</formula>
    </cfRule>
  </conditionalFormatting>
  <conditionalFormatting sqref="V19:V38">
    <cfRule type="containsText" dxfId="23" priority="30" operator="containsText" text="err">
      <formula>NOT(ISERROR(SEARCH("err",V19)))</formula>
    </cfRule>
    <cfRule type="containsText" dxfId="22" priority="51" operator="containsText" text="PASS">
      <formula>NOT(ISERROR(SEARCH("PASS",V19)))</formula>
    </cfRule>
    <cfRule type="containsText" dxfId="21" priority="52" operator="containsText" text="FAIL">
      <formula>NOT(ISERROR(SEARCH("FAIL",V19)))</formula>
    </cfRule>
  </conditionalFormatting>
  <conditionalFormatting sqref="F19:F68">
    <cfRule type="containsText" dxfId="20" priority="49" operator="containsText" text="PASS">
      <formula>NOT(ISERROR(SEARCH("PASS",F19)))</formula>
    </cfRule>
    <cfRule type="containsText" dxfId="19" priority="50" operator="containsText" text="FAIL">
      <formula>NOT(ISERROR(SEARCH("FAIL",F19)))</formula>
    </cfRule>
  </conditionalFormatting>
  <conditionalFormatting sqref="L19:M68">
    <cfRule type="containsText" dxfId="18" priority="47" operator="containsText" text="FAIL">
      <formula>NOT(ISERROR(SEARCH("FAIL",L19)))</formula>
    </cfRule>
    <cfRule type="containsText" dxfId="17" priority="48" operator="containsText" text="PASS">
      <formula>NOT(ISERROR(SEARCH("PASS",L19)))</formula>
    </cfRule>
  </conditionalFormatting>
  <conditionalFormatting sqref="J42:J68 R19:R38">
    <cfRule type="duplicateValues" dxfId="16" priority="29"/>
  </conditionalFormatting>
  <conditionalFormatting sqref="I6:I11">
    <cfRule type="cellIs" dxfId="15" priority="19" operator="equal">
      <formula>"FAIL"</formula>
    </cfRule>
    <cfRule type="cellIs" dxfId="14" priority="20" operator="equal">
      <formula>"PASS"</formula>
    </cfRule>
  </conditionalFormatting>
  <conditionalFormatting sqref="I6:I9">
    <cfRule type="cellIs" dxfId="13" priority="18" operator="equal">
      <formula>"IDLE"</formula>
    </cfRule>
  </conditionalFormatting>
  <conditionalFormatting sqref="J19:J41">
    <cfRule type="duplicateValues" dxfId="12" priority="15"/>
  </conditionalFormatting>
  <conditionalFormatting sqref="D19:E68">
    <cfRule type="containsText" dxfId="11" priority="13" operator="containsText" text="FAIL">
      <formula>NOT(ISERROR(SEARCH("FAIL",D19)))</formula>
    </cfRule>
    <cfRule type="containsText" dxfId="10" priority="14" operator="containsText" text="PASS">
      <formula>NOT(ISERROR(SEARCH("PASS",D19)))</formula>
    </cfRule>
  </conditionalFormatting>
  <conditionalFormatting sqref="G6">
    <cfRule type="containsText" dxfId="9" priority="8" operator="containsText" text="Failed">
      <formula>NOT(ISERROR(SEARCH("Failed",G6)))</formula>
    </cfRule>
    <cfRule type="containsText" dxfId="8" priority="9" operator="containsText" text="Passed">
      <formula>NOT(ISERROR(SEARCH("Passed",G6)))</formula>
    </cfRule>
  </conditionalFormatting>
  <conditionalFormatting sqref="G6">
    <cfRule type="containsText" dxfId="7" priority="7" operator="containsText" text="PASS">
      <formula>NOT(ISERROR(SEARCH("PASS",G6)))</formula>
    </cfRule>
  </conditionalFormatting>
  <conditionalFormatting sqref="G6">
    <cfRule type="containsText" dxfId="6" priority="5" operator="containsText" text="fail">
      <formula>NOT(ISERROR(SEARCH("fail",G6)))</formula>
    </cfRule>
    <cfRule type="containsText" dxfId="5" priority="6" operator="containsText" text="pass">
      <formula>NOT(ISERROR(SEARCH("pass",G6)))</formula>
    </cfRule>
  </conditionalFormatting>
  <conditionalFormatting sqref="G6">
    <cfRule type="duplicateValues" dxfId="4" priority="10"/>
  </conditionalFormatting>
  <conditionalFormatting sqref="G6">
    <cfRule type="duplicateValues" dxfId="3" priority="4"/>
  </conditionalFormatting>
  <conditionalFormatting sqref="G6">
    <cfRule type="duplicateValues" dxfId="2" priority="3"/>
  </conditionalFormatting>
  <conditionalFormatting sqref="T19:U38">
    <cfRule type="containsText" dxfId="1" priority="1" operator="containsText" text="FAIL">
      <formula>NOT(ISERROR(SEARCH("FAIL",T19)))</formula>
    </cfRule>
    <cfRule type="containsText" dxfId="0" priority="2" operator="containsText" text="PASS">
      <formula>NOT(ISERROR(SEARCH("PASS",T19)))</formula>
    </cfRule>
  </conditionalFormatting>
  <dataValidations count="1">
    <dataValidation type="list" allowBlank="1" showInputMessage="1" showErrorMessage="1" sqref="K19:K68 S19:S38 C19:C68">
      <formula1>$Z$1:$Z$3</formula1>
    </dataValidation>
  </dataValidations>
  <pageMargins left="0.7" right="0.7" top="0.75" bottom="0.75" header="0.3" footer="0.3"/>
  <pageSetup paperSize="9" scale="19" orientation="landscape" r:id="rId1"/>
  <drawing r:id="rId2"/>
  <legacyDrawing r:id="rId3"/>
  <controls>
    <mc:AlternateContent xmlns:mc="http://schemas.openxmlformats.org/markup-compatibility/2006">
      <mc:Choice Requires="x14">
        <control shapeId="2072" r:id="rId4" name="CommandButton4">
          <controlPr defaultSize="0" print="0" autoLine="0" r:id="rId5">
            <anchor moveWithCells="1">
              <from>
                <xdr:col>3</xdr:col>
                <xdr:colOff>19050</xdr:colOff>
                <xdr:row>0</xdr:row>
                <xdr:rowOff>47625</xdr:rowOff>
              </from>
              <to>
                <xdr:col>4</xdr:col>
                <xdr:colOff>1476375</xdr:colOff>
                <xdr:row>3</xdr:row>
                <xdr:rowOff>47625</xdr:rowOff>
              </to>
            </anchor>
          </controlPr>
        </control>
      </mc:Choice>
      <mc:Fallback>
        <control shapeId="2072" r:id="rId4" name="CommandButton4"/>
      </mc:Fallback>
    </mc:AlternateContent>
    <mc:AlternateContent xmlns:mc="http://schemas.openxmlformats.org/markup-compatibility/2006">
      <mc:Choice Requires="x14">
        <control shapeId="2062" r:id="rId6" name="CommandButton3">
          <controlPr defaultSize="0" print="0" autoLine="0" autoPict="0" r:id="rId7">
            <anchor moveWithCells="1">
              <from>
                <xdr:col>1</xdr:col>
                <xdr:colOff>1390650</xdr:colOff>
                <xdr:row>0</xdr:row>
                <xdr:rowOff>76200</xdr:rowOff>
              </from>
              <to>
                <xdr:col>2</xdr:col>
                <xdr:colOff>1647825</xdr:colOff>
                <xdr:row>3</xdr:row>
                <xdr:rowOff>76200</xdr:rowOff>
              </to>
            </anchor>
          </controlPr>
        </control>
      </mc:Choice>
      <mc:Fallback>
        <control shapeId="2062" r:id="rId6" name="CommandButton3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print="0" autoLine="0" autoPict="0" r:id="rId9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1343025</xdr:colOff>
                <xdr:row>3</xdr:row>
                <xdr:rowOff>66675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49" r:id="rId10" name="CommandButton1">
          <controlPr defaultSize="0" print="0" autoLine="0" r:id="rId11">
            <anchor moveWithCells="1">
              <from>
                <xdr:col>5</xdr:col>
                <xdr:colOff>66675</xdr:colOff>
                <xdr:row>0</xdr:row>
                <xdr:rowOff>66675</xdr:rowOff>
              </from>
              <to>
                <xdr:col>6</xdr:col>
                <xdr:colOff>295275</xdr:colOff>
                <xdr:row>3</xdr:row>
                <xdr:rowOff>66675</xdr:rowOff>
              </to>
            </anchor>
          </controlPr>
        </control>
      </mc:Choice>
      <mc:Fallback>
        <control shapeId="2049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"/>
  <sheetViews>
    <sheetView workbookViewId="0">
      <selection activeCell="A2" sqref="A2"/>
    </sheetView>
  </sheetViews>
  <sheetFormatPr defaultRowHeight="15" x14ac:dyDescent="0.25"/>
  <cols>
    <col min="4" max="4" width="22.140625" bestFit="1" customWidth="1"/>
    <col min="5" max="5" width="12" bestFit="1" customWidth="1"/>
    <col min="6" max="6" width="17.28515625" bestFit="1" customWidth="1"/>
  </cols>
  <sheetData>
    <row r="1" spans="1:7" x14ac:dyDescent="0.25">
      <c r="A1" t="s">
        <v>50</v>
      </c>
      <c r="B1" t="s">
        <v>53</v>
      </c>
      <c r="C1" t="s">
        <v>2</v>
      </c>
      <c r="D1" t="s">
        <v>3</v>
      </c>
      <c r="E1" t="s">
        <v>12</v>
      </c>
      <c r="F1" t="s">
        <v>51</v>
      </c>
      <c r="G1" t="s">
        <v>52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1"/>
  <sheetViews>
    <sheetView workbookViewId="0">
      <selection activeCell="D2" sqref="D2"/>
    </sheetView>
  </sheetViews>
  <sheetFormatPr defaultRowHeight="15" x14ac:dyDescent="0.25"/>
  <cols>
    <col min="1" max="1" width="11.28515625" bestFit="1" customWidth="1"/>
    <col min="2" max="2" width="7.7109375" bestFit="1" customWidth="1"/>
    <col min="3" max="3" width="16.140625" bestFit="1" customWidth="1"/>
    <col min="4" max="4" width="13.140625" bestFit="1" customWidth="1"/>
  </cols>
  <sheetData>
    <row r="1" spans="1:4" x14ac:dyDescent="0.25">
      <c r="A1" t="s">
        <v>33</v>
      </c>
      <c r="B1" t="s">
        <v>34</v>
      </c>
      <c r="C1" t="s">
        <v>35</v>
      </c>
      <c r="D1" t="s">
        <v>36</v>
      </c>
    </row>
    <row r="2" spans="1:4" x14ac:dyDescent="0.25">
      <c r="A2" t="s">
        <v>46</v>
      </c>
      <c r="B2" t="s">
        <v>47</v>
      </c>
      <c r="C2" s="20" t="s">
        <v>48</v>
      </c>
      <c r="D2" t="s">
        <v>49</v>
      </c>
    </row>
    <row r="3" spans="1:4" x14ac:dyDescent="0.25">
      <c r="A3" t="s">
        <v>37</v>
      </c>
    </row>
    <row r="4" spans="1:4" x14ac:dyDescent="0.25">
      <c r="A4" t="s">
        <v>38</v>
      </c>
    </row>
    <row r="5" spans="1:4" x14ac:dyDescent="0.25">
      <c r="A5" t="s">
        <v>39</v>
      </c>
    </row>
    <row r="6" spans="1:4" x14ac:dyDescent="0.25">
      <c r="A6" t="s">
        <v>40</v>
      </c>
    </row>
    <row r="7" spans="1:4" x14ac:dyDescent="0.25">
      <c r="A7" t="s">
        <v>41</v>
      </c>
    </row>
    <row r="8" spans="1:4" x14ac:dyDescent="0.25">
      <c r="A8" t="s">
        <v>42</v>
      </c>
    </row>
    <row r="9" spans="1:4" x14ac:dyDescent="0.25">
      <c r="A9" t="s">
        <v>43</v>
      </c>
    </row>
    <row r="10" spans="1:4" x14ac:dyDescent="0.25">
      <c r="A10" t="s">
        <v>44</v>
      </c>
    </row>
    <row r="11" spans="1:4" x14ac:dyDescent="0.25">
      <c r="A11" t="s">
        <v>45</v>
      </c>
    </row>
  </sheetData>
  <hyperlinks>
    <hyperlink ref="C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49</vt:i4>
      </vt:variant>
    </vt:vector>
  </HeadingPairs>
  <TitlesOfParts>
    <vt:vector size="53" baseType="lpstr">
      <vt:lpstr>MAIN</vt:lpstr>
      <vt:lpstr>REPORT</vt:lpstr>
      <vt:lpstr>DATABASE TRACKER</vt:lpstr>
      <vt:lpstr>USER</vt:lpstr>
      <vt:lpstr>REPORT!ResultId109145</vt:lpstr>
      <vt:lpstr>REPORT!ResultId16085</vt:lpstr>
      <vt:lpstr>REPORT!ResultId16147</vt:lpstr>
      <vt:lpstr>REPORT!ResultId177960</vt:lpstr>
      <vt:lpstr>REPORT!ResultId18703</vt:lpstr>
      <vt:lpstr>REPORT!ResultId18987</vt:lpstr>
      <vt:lpstr>REPORT!ResultId201245</vt:lpstr>
      <vt:lpstr>REPORT!ResultId21775</vt:lpstr>
      <vt:lpstr>REPORT!ResultId220547</vt:lpstr>
      <vt:lpstr>REPORT!ResultId24383</vt:lpstr>
      <vt:lpstr>REPORT!ResultId245519</vt:lpstr>
      <vt:lpstr>REPORT!ResultId245726</vt:lpstr>
      <vt:lpstr>REPORT!ResultId25027</vt:lpstr>
      <vt:lpstr>REPORT!ResultId262250</vt:lpstr>
      <vt:lpstr>REPORT!ResultId279275</vt:lpstr>
      <vt:lpstr>REPORT!ResultId281897</vt:lpstr>
      <vt:lpstr>REPORT!ResultId285591</vt:lpstr>
      <vt:lpstr>REPORT!ResultId292207</vt:lpstr>
      <vt:lpstr>REPORT!ResultId318273</vt:lpstr>
      <vt:lpstr>REPORT!ResultId322554</vt:lpstr>
      <vt:lpstr>REPORT!ResultId34143</vt:lpstr>
      <vt:lpstr>REPORT!ResultId353611</vt:lpstr>
      <vt:lpstr>REPORT!ResultId411801</vt:lpstr>
      <vt:lpstr>REPORT!ResultId419829</vt:lpstr>
      <vt:lpstr>REPORT!ResultId435755</vt:lpstr>
      <vt:lpstr>REPORT!ResultId436404</vt:lpstr>
      <vt:lpstr>REPORT!ResultId45668</vt:lpstr>
      <vt:lpstr>REPORT!ResultId482895</vt:lpstr>
      <vt:lpstr>REPORT!ResultId504265</vt:lpstr>
      <vt:lpstr>REPORT!ResultId5215</vt:lpstr>
      <vt:lpstr>REPORT!ResultId641564</vt:lpstr>
      <vt:lpstr>REPORT!ResultId659765</vt:lpstr>
      <vt:lpstr>REPORT!ResultId664554</vt:lpstr>
      <vt:lpstr>REPORT!ResultId668620</vt:lpstr>
      <vt:lpstr>REPORT!ResultId671800</vt:lpstr>
      <vt:lpstr>REPORT!ResultId674678</vt:lpstr>
      <vt:lpstr>REPORT!ResultId679156</vt:lpstr>
      <vt:lpstr>REPORT!ResultId679843</vt:lpstr>
      <vt:lpstr>REPORT!ResultId681312</vt:lpstr>
      <vt:lpstr>REPORT!ResultId685950</vt:lpstr>
      <vt:lpstr>REPORT!ResultId686821</vt:lpstr>
      <vt:lpstr>REPORT!ResultId691968</vt:lpstr>
      <vt:lpstr>REPORT!ResultId696309</vt:lpstr>
      <vt:lpstr>REPORT!ResultId701206</vt:lpstr>
      <vt:lpstr>REPORT!ResultId731083</vt:lpstr>
      <vt:lpstr>REPORT!ResultId742787</vt:lpstr>
      <vt:lpstr>REPORT!ResultId772057</vt:lpstr>
      <vt:lpstr>REPORT!ResultId98563</vt:lpstr>
      <vt:lpstr>REPORT!ResultId99347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testingsupport</dc:creator>
  <cp:lastModifiedBy>Testing Support</cp:lastModifiedBy>
  <cp:lastPrinted>2022-09-08T20:30:03Z</cp:lastPrinted>
  <dcterms:created xsi:type="dcterms:W3CDTF">2022-06-16T09:27:34Z</dcterms:created>
  <dcterms:modified xsi:type="dcterms:W3CDTF">2022-09-10T08:21:15Z</dcterms:modified>
</cp:coreProperties>
</file>